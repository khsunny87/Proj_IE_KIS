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9"/>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342" documentId="8_{5E12B0FE-54ED-4555-B860-5ACEB395AEAE}" xr6:coauthVersionLast="47" xr6:coauthVersionMax="47" xr10:uidLastSave="{1429922A-D6D7-D546-A41F-9EF0127D85E6}"/>
  <bookViews>
    <workbookView xWindow="0" yWindow="460" windowWidth="25600" windowHeight="15540" xr2:uid="{00000000-000D-0000-FFFF-FFFF00000000}"/>
  </bookViews>
  <sheets>
    <sheet name="Sheet1" sheetId="1" r:id="rId1"/>
    <sheet name="Sheet2" sheetId="2" r:id="rId2"/>
  </sheets>
  <definedNames>
    <definedName name="_xlnm._FilterDatabase" localSheetId="0" hidden="1">Sheet1!$A$2:$EI$333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N245" i="1" l="1"/>
  <c r="B3" i="2"/>
  <c r="B6" i="2"/>
  <c r="CT39" i="1"/>
  <c r="CT30" i="1"/>
  <c r="B4" i="2" l="1"/>
  <c r="B5" i="2"/>
  <c r="P4" i="1" l="1"/>
  <c r="AK4" i="1" s="1"/>
  <c r="P5" i="1"/>
  <c r="AK5" i="1" s="1"/>
  <c r="P6" i="1"/>
  <c r="AK6" i="1" s="1"/>
  <c r="P7" i="1"/>
  <c r="AK7" i="1" s="1"/>
  <c r="P8" i="1"/>
  <c r="AK8" i="1" s="1"/>
  <c r="P9" i="1"/>
  <c r="AK9" i="1" s="1"/>
  <c r="P10" i="1"/>
  <c r="AK10" i="1" s="1"/>
  <c r="P11" i="1"/>
  <c r="AK11" i="1" s="1"/>
  <c r="P12" i="1"/>
  <c r="AK12" i="1" s="1"/>
  <c r="P13" i="1"/>
  <c r="AK13" i="1" s="1"/>
  <c r="P14" i="1"/>
  <c r="AK14" i="1" s="1"/>
  <c r="P15" i="1"/>
  <c r="AK15" i="1" s="1"/>
  <c r="P16" i="1"/>
  <c r="AK16" i="1" s="1"/>
  <c r="P17" i="1"/>
  <c r="AK17" i="1" s="1"/>
  <c r="P18" i="1"/>
  <c r="AK18" i="1" s="1"/>
  <c r="P19" i="1"/>
  <c r="AK19" i="1" s="1"/>
  <c r="P20" i="1"/>
  <c r="AK20" i="1" s="1"/>
  <c r="P21" i="1"/>
  <c r="AK21" i="1" s="1"/>
  <c r="P22" i="1"/>
  <c r="AK22" i="1" s="1"/>
  <c r="P23" i="1"/>
  <c r="AK23" i="1" s="1"/>
  <c r="P24" i="1"/>
  <c r="AK24" i="1" s="1"/>
  <c r="P25" i="1"/>
  <c r="AK25" i="1" s="1"/>
  <c r="P26" i="1"/>
  <c r="AK26" i="1" s="1"/>
  <c r="P27" i="1"/>
  <c r="AK27" i="1" s="1"/>
  <c r="P28" i="1"/>
  <c r="AK28" i="1" s="1"/>
  <c r="P29" i="1"/>
  <c r="AK29" i="1" s="1"/>
  <c r="P30" i="1"/>
  <c r="AK30" i="1" s="1"/>
  <c r="P31" i="1"/>
  <c r="AK31" i="1" s="1"/>
  <c r="P32" i="1"/>
  <c r="AK32" i="1" s="1"/>
  <c r="P33" i="1"/>
  <c r="AK33" i="1" s="1"/>
  <c r="P34" i="1"/>
  <c r="AK34" i="1" s="1"/>
  <c r="P35" i="1"/>
  <c r="AK35" i="1" s="1"/>
  <c r="P36" i="1"/>
  <c r="AK36" i="1" s="1"/>
  <c r="P37" i="1"/>
  <c r="AK37" i="1" s="1"/>
  <c r="P38" i="1"/>
  <c r="AK38" i="1" s="1"/>
  <c r="P39" i="1"/>
  <c r="AK39" i="1" s="1"/>
  <c r="P40" i="1"/>
  <c r="AK40" i="1" s="1"/>
  <c r="P41" i="1"/>
  <c r="AK41" i="1" s="1"/>
  <c r="P42" i="1"/>
  <c r="AK42" i="1" s="1"/>
  <c r="P43" i="1"/>
  <c r="AK43" i="1" s="1"/>
  <c r="P44" i="1"/>
  <c r="AK44" i="1" s="1"/>
  <c r="P45" i="1"/>
  <c r="AK45" i="1" s="1"/>
  <c r="P46" i="1"/>
  <c r="AK46" i="1" s="1"/>
  <c r="P47" i="1"/>
  <c r="AK47" i="1" s="1"/>
  <c r="P48" i="1"/>
  <c r="AK48" i="1" s="1"/>
  <c r="P49" i="1"/>
  <c r="AK49" i="1" s="1"/>
  <c r="P50" i="1"/>
  <c r="AK50" i="1" s="1"/>
  <c r="P51" i="1"/>
  <c r="AK51" i="1" s="1"/>
  <c r="P52" i="1"/>
  <c r="AK52" i="1" s="1"/>
  <c r="P53" i="1"/>
  <c r="AK53" i="1" s="1"/>
  <c r="P54" i="1"/>
  <c r="AK54" i="1" s="1"/>
  <c r="P55" i="1"/>
  <c r="AK55" i="1" s="1"/>
  <c r="P56" i="1"/>
  <c r="AK56" i="1" s="1"/>
  <c r="P57" i="1"/>
  <c r="AK57" i="1" s="1"/>
  <c r="P58" i="1"/>
  <c r="AK58" i="1" s="1"/>
  <c r="P59" i="1"/>
  <c r="AK59" i="1" s="1"/>
  <c r="P60" i="1"/>
  <c r="AK60" i="1" s="1"/>
  <c r="P61" i="1"/>
  <c r="AK61" i="1" s="1"/>
  <c r="P62" i="1"/>
  <c r="AK62" i="1" s="1"/>
  <c r="P63" i="1"/>
  <c r="AK63" i="1" s="1"/>
  <c r="P64" i="1"/>
  <c r="AK64" i="1" s="1"/>
  <c r="P65" i="1"/>
  <c r="AK65" i="1" s="1"/>
  <c r="P66" i="1"/>
  <c r="AK66" i="1" s="1"/>
  <c r="P67" i="1"/>
  <c r="AK67" i="1" s="1"/>
  <c r="P68" i="1"/>
  <c r="AK68" i="1" s="1"/>
  <c r="P69" i="1"/>
  <c r="AK69" i="1" s="1"/>
  <c r="P70" i="1"/>
  <c r="AK70" i="1" s="1"/>
  <c r="P71" i="1"/>
  <c r="AK71" i="1" s="1"/>
  <c r="P72" i="1"/>
  <c r="AK72" i="1" s="1"/>
  <c r="P73" i="1"/>
  <c r="AK73" i="1" s="1"/>
  <c r="P74" i="1"/>
  <c r="AK74" i="1" s="1"/>
  <c r="P75" i="1"/>
  <c r="AK75" i="1" s="1"/>
  <c r="P76" i="1"/>
  <c r="AK76" i="1" s="1"/>
  <c r="P77" i="1"/>
  <c r="AK77" i="1" s="1"/>
  <c r="P78" i="1"/>
  <c r="AK78" i="1" s="1"/>
  <c r="P79" i="1"/>
  <c r="AK79" i="1" s="1"/>
  <c r="P80" i="1"/>
  <c r="AK80" i="1" s="1"/>
  <c r="P81" i="1"/>
  <c r="AK81" i="1" s="1"/>
  <c r="P82" i="1"/>
  <c r="AK82" i="1" s="1"/>
  <c r="P83" i="1"/>
  <c r="AK83" i="1" s="1"/>
  <c r="P84" i="1"/>
  <c r="AK84" i="1" s="1"/>
  <c r="P85" i="1"/>
  <c r="AK85" i="1" s="1"/>
  <c r="P86" i="1"/>
  <c r="AK86" i="1" s="1"/>
  <c r="P87" i="1"/>
  <c r="AK87" i="1" s="1"/>
  <c r="P88" i="1"/>
  <c r="AK88" i="1" s="1"/>
  <c r="P89" i="1"/>
  <c r="AK89" i="1" s="1"/>
  <c r="P90" i="1"/>
  <c r="AK90" i="1" s="1"/>
  <c r="P91" i="1"/>
  <c r="AK91" i="1" s="1"/>
  <c r="P92" i="1"/>
  <c r="AK92" i="1" s="1"/>
  <c r="P93" i="1"/>
  <c r="AK93" i="1" s="1"/>
  <c r="P94" i="1"/>
  <c r="AK94" i="1" s="1"/>
  <c r="P95" i="1"/>
  <c r="AK95" i="1" s="1"/>
  <c r="P96" i="1"/>
  <c r="AK96" i="1" s="1"/>
  <c r="P97" i="1"/>
  <c r="AK97" i="1" s="1"/>
  <c r="P98" i="1"/>
  <c r="AK98" i="1" s="1"/>
  <c r="P99" i="1"/>
  <c r="AK99" i="1" s="1"/>
  <c r="P100" i="1"/>
  <c r="AK100" i="1" s="1"/>
  <c r="P101" i="1"/>
  <c r="AK101" i="1" s="1"/>
  <c r="P102" i="1"/>
  <c r="AK102" i="1" s="1"/>
  <c r="P103" i="1"/>
  <c r="AK103" i="1" s="1"/>
  <c r="P104" i="1"/>
  <c r="AK104" i="1" s="1"/>
  <c r="P105" i="1"/>
  <c r="AK105" i="1" s="1"/>
  <c r="P106" i="1"/>
  <c r="AK106" i="1" s="1"/>
  <c r="P107" i="1"/>
  <c r="AK107" i="1" s="1"/>
  <c r="P108" i="1"/>
  <c r="AK108" i="1" s="1"/>
  <c r="P109" i="1"/>
  <c r="AK109" i="1" s="1"/>
  <c r="P110" i="1"/>
  <c r="AK110" i="1" s="1"/>
  <c r="P111" i="1"/>
  <c r="AK111" i="1" s="1"/>
  <c r="P112" i="1"/>
  <c r="AK112" i="1" s="1"/>
  <c r="P113" i="1"/>
  <c r="AK113" i="1" s="1"/>
  <c r="P114" i="1"/>
  <c r="AK114" i="1" s="1"/>
  <c r="P115" i="1"/>
  <c r="AK115" i="1" s="1"/>
  <c r="P116" i="1"/>
  <c r="AK116" i="1" s="1"/>
  <c r="P117" i="1"/>
  <c r="AK117" i="1" s="1"/>
  <c r="P118" i="1"/>
  <c r="AK118" i="1" s="1"/>
  <c r="P119" i="1"/>
  <c r="AK119" i="1" s="1"/>
  <c r="P120" i="1"/>
  <c r="AK120" i="1" s="1"/>
  <c r="P121" i="1"/>
  <c r="AK121" i="1" s="1"/>
  <c r="P122" i="1"/>
  <c r="AK122" i="1" s="1"/>
  <c r="P123" i="1"/>
  <c r="AK123" i="1" s="1"/>
  <c r="P124" i="1"/>
  <c r="AK124" i="1" s="1"/>
  <c r="P125" i="1"/>
  <c r="AK125" i="1" s="1"/>
  <c r="P126" i="1"/>
  <c r="AK126" i="1" s="1"/>
  <c r="P127" i="1"/>
  <c r="AK127" i="1" s="1"/>
  <c r="P128" i="1"/>
  <c r="AK128" i="1" s="1"/>
  <c r="P129" i="1"/>
  <c r="AK129" i="1" s="1"/>
  <c r="P130" i="1"/>
  <c r="AK130" i="1" s="1"/>
  <c r="P131" i="1"/>
  <c r="AK131" i="1" s="1"/>
  <c r="P132" i="1"/>
  <c r="AK132" i="1" s="1"/>
  <c r="P133" i="1"/>
  <c r="AK133" i="1" s="1"/>
  <c r="P134" i="1"/>
  <c r="AK134" i="1" s="1"/>
  <c r="P135" i="1"/>
  <c r="AK135" i="1" s="1"/>
  <c r="P136" i="1"/>
  <c r="AK136" i="1" s="1"/>
  <c r="P137" i="1"/>
  <c r="AK137" i="1" s="1"/>
  <c r="P138" i="1"/>
  <c r="AK138" i="1" s="1"/>
  <c r="P139" i="1"/>
  <c r="AK139" i="1" s="1"/>
  <c r="P140" i="1"/>
  <c r="AK140" i="1" s="1"/>
  <c r="P141" i="1"/>
  <c r="AK141" i="1" s="1"/>
  <c r="P142" i="1"/>
  <c r="AK142" i="1" s="1"/>
  <c r="P143" i="1"/>
  <c r="AK143" i="1" s="1"/>
  <c r="P144" i="1"/>
  <c r="AK144" i="1" s="1"/>
  <c r="P145" i="1"/>
  <c r="AK145" i="1" s="1"/>
  <c r="P146" i="1"/>
  <c r="AK146" i="1" s="1"/>
  <c r="P147" i="1"/>
  <c r="AK147" i="1" s="1"/>
  <c r="P148" i="1"/>
  <c r="AK148" i="1" s="1"/>
  <c r="P149" i="1"/>
  <c r="AK149" i="1" s="1"/>
  <c r="P150" i="1"/>
  <c r="AK150" i="1" s="1"/>
  <c r="P151" i="1"/>
  <c r="AK151" i="1" s="1"/>
  <c r="P152" i="1"/>
  <c r="AK152" i="1" s="1"/>
  <c r="P153" i="1"/>
  <c r="AK153" i="1" s="1"/>
  <c r="P154" i="1"/>
  <c r="AK154" i="1" s="1"/>
  <c r="P155" i="1"/>
  <c r="AK155" i="1" s="1"/>
  <c r="P156" i="1"/>
  <c r="AK156" i="1" s="1"/>
  <c r="P157" i="1"/>
  <c r="AK157" i="1" s="1"/>
  <c r="P158" i="1"/>
  <c r="AK158" i="1" s="1"/>
  <c r="P159" i="1"/>
  <c r="AK159" i="1" s="1"/>
  <c r="P160" i="1"/>
  <c r="AK160" i="1" s="1"/>
  <c r="P161" i="1"/>
  <c r="AK161" i="1" s="1"/>
  <c r="P162" i="1"/>
  <c r="AK162" i="1" s="1"/>
  <c r="P163" i="1"/>
  <c r="AK163" i="1" s="1"/>
  <c r="P164" i="1"/>
  <c r="AK164" i="1" s="1"/>
  <c r="P165" i="1"/>
  <c r="AK165" i="1" s="1"/>
  <c r="P166" i="1"/>
  <c r="AK166" i="1" s="1"/>
  <c r="P167" i="1"/>
  <c r="AK167" i="1" s="1"/>
  <c r="P168" i="1"/>
  <c r="AK168" i="1" s="1"/>
  <c r="P169" i="1"/>
  <c r="AK169" i="1" s="1"/>
  <c r="P170" i="1"/>
  <c r="AK170" i="1" s="1"/>
  <c r="P171" i="1"/>
  <c r="AK171" i="1" s="1"/>
  <c r="P172" i="1"/>
  <c r="AK172" i="1" s="1"/>
  <c r="P173" i="1"/>
  <c r="AK173" i="1" s="1"/>
  <c r="P174" i="1"/>
  <c r="AK174" i="1" s="1"/>
  <c r="P175" i="1"/>
  <c r="AK175" i="1" s="1"/>
  <c r="P176" i="1"/>
  <c r="AK176" i="1" s="1"/>
  <c r="P177" i="1"/>
  <c r="AK177" i="1" s="1"/>
  <c r="P178" i="1"/>
  <c r="AK178" i="1" s="1"/>
  <c r="P179" i="1"/>
  <c r="AK179" i="1" s="1"/>
  <c r="P180" i="1"/>
  <c r="AK180" i="1" s="1"/>
  <c r="P181" i="1"/>
  <c r="AK181" i="1" s="1"/>
  <c r="P182" i="1"/>
  <c r="AK182" i="1" s="1"/>
  <c r="P183" i="1"/>
  <c r="AK183" i="1" s="1"/>
  <c r="P184" i="1"/>
  <c r="AK184" i="1" s="1"/>
  <c r="P185" i="1"/>
  <c r="AK185" i="1" s="1"/>
  <c r="P186" i="1"/>
  <c r="AK186" i="1" s="1"/>
  <c r="P187" i="1"/>
  <c r="AK187" i="1" s="1"/>
  <c r="P188" i="1"/>
  <c r="AK188" i="1" s="1"/>
  <c r="P189" i="1"/>
  <c r="AK189" i="1" s="1"/>
  <c r="P190" i="1"/>
  <c r="AK190" i="1" s="1"/>
  <c r="P191" i="1"/>
  <c r="AK191" i="1" s="1"/>
  <c r="P192" i="1"/>
  <c r="AK192" i="1" s="1"/>
  <c r="P193" i="1"/>
  <c r="AK193" i="1" s="1"/>
  <c r="P194" i="1"/>
  <c r="AK194" i="1" s="1"/>
  <c r="P195" i="1"/>
  <c r="AK195" i="1" s="1"/>
  <c r="P196" i="1"/>
  <c r="AK196" i="1" s="1"/>
  <c r="P197" i="1"/>
  <c r="AK197" i="1" s="1"/>
  <c r="P198" i="1"/>
  <c r="AK198" i="1" s="1"/>
  <c r="P199" i="1"/>
  <c r="AK199" i="1" s="1"/>
  <c r="P200" i="1"/>
  <c r="AK200" i="1" s="1"/>
  <c r="P201" i="1"/>
  <c r="AK201" i="1" s="1"/>
  <c r="P202" i="1"/>
  <c r="AK202" i="1" s="1"/>
  <c r="P203" i="1"/>
  <c r="AK203" i="1" s="1"/>
  <c r="P204" i="1"/>
  <c r="AK204" i="1" s="1"/>
  <c r="P205" i="1"/>
  <c r="AK205" i="1" s="1"/>
  <c r="P206" i="1"/>
  <c r="AK206" i="1" s="1"/>
  <c r="P207" i="1"/>
  <c r="AK207" i="1" s="1"/>
  <c r="P208" i="1"/>
  <c r="AK208" i="1" s="1"/>
  <c r="P209" i="1"/>
  <c r="AK209" i="1" s="1"/>
  <c r="P210" i="1"/>
  <c r="AK210" i="1" s="1"/>
  <c r="P211" i="1"/>
  <c r="AK211" i="1" s="1"/>
  <c r="P212" i="1"/>
  <c r="AK212" i="1" s="1"/>
  <c r="P213" i="1"/>
  <c r="AK213" i="1" s="1"/>
  <c r="P214" i="1"/>
  <c r="AK214" i="1" s="1"/>
  <c r="P215" i="1"/>
  <c r="AK215" i="1" s="1"/>
  <c r="P216" i="1"/>
  <c r="AK216" i="1" s="1"/>
  <c r="P217" i="1"/>
  <c r="AK217" i="1" s="1"/>
  <c r="P218" i="1"/>
  <c r="AK218" i="1" s="1"/>
  <c r="P219" i="1"/>
  <c r="P220" i="1"/>
  <c r="AK220" i="1" s="1"/>
  <c r="P221" i="1"/>
  <c r="AK221" i="1" s="1"/>
  <c r="P222" i="1"/>
  <c r="AK222" i="1" s="1"/>
  <c r="P223" i="1"/>
  <c r="AK223" i="1" s="1"/>
  <c r="P224" i="1"/>
  <c r="AK224" i="1" s="1"/>
  <c r="P225" i="1"/>
  <c r="AK225" i="1" s="1"/>
  <c r="P226" i="1"/>
  <c r="P227" i="1"/>
  <c r="AK227" i="1" s="1"/>
  <c r="P228" i="1"/>
  <c r="AK228" i="1" s="1"/>
  <c r="P229" i="1"/>
  <c r="AK229" i="1" s="1"/>
  <c r="P230" i="1"/>
  <c r="AK230" i="1" s="1"/>
  <c r="P231" i="1"/>
  <c r="AK231" i="1" s="1"/>
  <c r="P232" i="1"/>
  <c r="AK232" i="1" s="1"/>
  <c r="P233" i="1"/>
  <c r="AK233" i="1" s="1"/>
  <c r="P234" i="1"/>
  <c r="AK234" i="1" s="1"/>
  <c r="P235" i="1"/>
  <c r="AK235" i="1" s="1"/>
  <c r="P236" i="1"/>
  <c r="AK236" i="1" s="1"/>
  <c r="P237" i="1"/>
  <c r="AK237" i="1" s="1"/>
  <c r="P238" i="1"/>
  <c r="AK238" i="1" s="1"/>
  <c r="P239" i="1"/>
  <c r="AK239" i="1" s="1"/>
  <c r="P240" i="1"/>
  <c r="AK240" i="1" s="1"/>
  <c r="P241" i="1"/>
  <c r="AK241" i="1" s="1"/>
  <c r="P242" i="1"/>
  <c r="AK242" i="1" s="1"/>
  <c r="P243" i="1"/>
  <c r="AK243" i="1" s="1"/>
  <c r="P244" i="1"/>
  <c r="AK244" i="1" s="1"/>
  <c r="P245" i="1"/>
  <c r="AK245" i="1" s="1"/>
  <c r="P246" i="1"/>
  <c r="AK246" i="1" s="1"/>
  <c r="P247" i="1"/>
  <c r="AK247" i="1" s="1"/>
  <c r="P248" i="1"/>
  <c r="AK248" i="1" s="1"/>
  <c r="P249" i="1"/>
  <c r="AK249" i="1" s="1"/>
  <c r="P250" i="1"/>
  <c r="AK250" i="1" s="1"/>
  <c r="P251" i="1"/>
  <c r="AK251" i="1" s="1"/>
  <c r="P252" i="1"/>
  <c r="AK252" i="1" s="1"/>
  <c r="P253" i="1"/>
  <c r="AK253" i="1" s="1"/>
  <c r="P254" i="1"/>
  <c r="AK254" i="1" s="1"/>
  <c r="P255" i="1"/>
  <c r="AK255" i="1" s="1"/>
  <c r="P256" i="1"/>
  <c r="AK256" i="1" s="1"/>
  <c r="P257" i="1"/>
  <c r="AK257" i="1" s="1"/>
  <c r="P258" i="1"/>
  <c r="AK258" i="1" s="1"/>
  <c r="P259" i="1"/>
  <c r="AK259" i="1" s="1"/>
  <c r="P260" i="1"/>
  <c r="AK260" i="1" s="1"/>
  <c r="P261" i="1"/>
  <c r="AK261" i="1" s="1"/>
  <c r="P262" i="1"/>
  <c r="AK262" i="1" s="1"/>
  <c r="P263" i="1"/>
  <c r="AK263" i="1" s="1"/>
  <c r="P264" i="1"/>
  <c r="AK264" i="1" s="1"/>
  <c r="P265" i="1"/>
  <c r="AK265" i="1" s="1"/>
  <c r="P266" i="1"/>
  <c r="AK266" i="1" s="1"/>
  <c r="P267" i="1"/>
  <c r="AK267" i="1" s="1"/>
  <c r="P268" i="1"/>
  <c r="AK268" i="1" s="1"/>
  <c r="P269" i="1"/>
  <c r="AK269" i="1" s="1"/>
  <c r="P270" i="1"/>
  <c r="AK270" i="1" s="1"/>
  <c r="P271" i="1"/>
  <c r="AK271" i="1" s="1"/>
  <c r="P272" i="1"/>
  <c r="AK272" i="1" s="1"/>
  <c r="P273" i="1"/>
  <c r="AK273" i="1" s="1"/>
  <c r="P274" i="1"/>
  <c r="AK274" i="1" s="1"/>
  <c r="P275" i="1"/>
  <c r="AK275" i="1" s="1"/>
  <c r="P276" i="1"/>
  <c r="AK276" i="1" s="1"/>
  <c r="P277" i="1"/>
  <c r="AK277" i="1" s="1"/>
  <c r="P278" i="1"/>
  <c r="AK278" i="1" s="1"/>
  <c r="P279" i="1"/>
  <c r="AK279" i="1" s="1"/>
  <c r="P280" i="1"/>
  <c r="AK280" i="1" s="1"/>
  <c r="P281" i="1"/>
  <c r="AK281" i="1" s="1"/>
  <c r="P282" i="1"/>
  <c r="AK282" i="1" s="1"/>
  <c r="P283" i="1"/>
  <c r="AK283" i="1" s="1"/>
  <c r="P284" i="1"/>
  <c r="AK284" i="1" s="1"/>
  <c r="P285" i="1"/>
  <c r="AK285" i="1" s="1"/>
  <c r="P286" i="1"/>
  <c r="AK286" i="1" s="1"/>
  <c r="P287" i="1"/>
  <c r="AK287" i="1" s="1"/>
  <c r="P288" i="1"/>
  <c r="AK288" i="1" s="1"/>
  <c r="P289" i="1"/>
  <c r="AK289" i="1" s="1"/>
  <c r="P290" i="1"/>
  <c r="AK290" i="1" s="1"/>
  <c r="P291" i="1"/>
  <c r="AK291" i="1" s="1"/>
  <c r="P292" i="1"/>
  <c r="AK292" i="1" s="1"/>
  <c r="P293" i="1"/>
  <c r="AK293" i="1" s="1"/>
  <c r="P294" i="1"/>
  <c r="AK294" i="1" s="1"/>
  <c r="P295" i="1"/>
  <c r="AK295" i="1" s="1"/>
  <c r="P296" i="1"/>
  <c r="AK296" i="1" s="1"/>
  <c r="P297" i="1"/>
  <c r="AK297" i="1" s="1"/>
  <c r="P298" i="1"/>
  <c r="AK298" i="1" s="1"/>
  <c r="P299" i="1"/>
  <c r="AK299" i="1" s="1"/>
  <c r="P300" i="1"/>
  <c r="AK300" i="1" s="1"/>
  <c r="P301" i="1"/>
  <c r="AK301" i="1" s="1"/>
  <c r="P302" i="1"/>
  <c r="AK302" i="1" s="1"/>
  <c r="P303" i="1"/>
  <c r="AK303" i="1" s="1"/>
  <c r="P304" i="1"/>
  <c r="AK304" i="1" s="1"/>
  <c r="P305" i="1"/>
  <c r="AK305" i="1" s="1"/>
  <c r="P306" i="1"/>
  <c r="AK306" i="1" s="1"/>
  <c r="P307" i="1"/>
  <c r="AK307" i="1" s="1"/>
  <c r="P308" i="1"/>
  <c r="AK308" i="1" s="1"/>
  <c r="P309" i="1"/>
  <c r="AK309" i="1" s="1"/>
  <c r="P310" i="1"/>
  <c r="AK310" i="1" s="1"/>
  <c r="P311" i="1"/>
  <c r="AK311" i="1" s="1"/>
  <c r="P312" i="1"/>
  <c r="AK312" i="1" s="1"/>
  <c r="P313" i="1"/>
  <c r="AK313" i="1" s="1"/>
  <c r="P314" i="1"/>
  <c r="AK314" i="1" s="1"/>
  <c r="P315" i="1"/>
  <c r="AK315" i="1" s="1"/>
  <c r="P316" i="1"/>
  <c r="AK316" i="1" s="1"/>
  <c r="P317" i="1"/>
  <c r="AK317" i="1" s="1"/>
  <c r="P318" i="1"/>
  <c r="AK318" i="1" s="1"/>
  <c r="P319" i="1"/>
  <c r="AK319" i="1" s="1"/>
  <c r="P320" i="1"/>
  <c r="AK320" i="1" s="1"/>
  <c r="P321" i="1"/>
  <c r="AK321" i="1" s="1"/>
  <c r="P322" i="1"/>
  <c r="AK322" i="1" s="1"/>
  <c r="P323" i="1"/>
  <c r="AK323" i="1" s="1"/>
  <c r="P324" i="1"/>
  <c r="AK324" i="1" s="1"/>
  <c r="P325" i="1"/>
  <c r="AK325" i="1" s="1"/>
  <c r="P326" i="1"/>
  <c r="AK326" i="1" s="1"/>
  <c r="P327" i="1"/>
  <c r="AK327" i="1" s="1"/>
  <c r="P328" i="1"/>
  <c r="AK328" i="1" s="1"/>
  <c r="P329" i="1"/>
  <c r="AK329" i="1" s="1"/>
  <c r="P330" i="1"/>
  <c r="AK330" i="1" s="1"/>
  <c r="P331" i="1"/>
  <c r="AK331" i="1" s="1"/>
  <c r="P332" i="1"/>
  <c r="AK332" i="1" s="1"/>
  <c r="P333" i="1"/>
  <c r="AK333" i="1" s="1"/>
  <c r="P3" i="1"/>
  <c r="AK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T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I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J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C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<sst xmlns="http://schemas.openxmlformats.org/spreadsheetml/2006/main" count="3960" uniqueCount="2199">
  <si>
    <t>Info</t>
    <phoneticPr fontId="3" type="noConversion"/>
  </si>
  <si>
    <t>Baseline</t>
    <phoneticPr fontId="3" type="noConversion"/>
  </si>
  <si>
    <t>Acute</t>
    <phoneticPr fontId="3" type="noConversion"/>
  </si>
  <si>
    <t>Symptom</t>
    <phoneticPr fontId="3" type="noConversion"/>
  </si>
  <si>
    <t>PMH</t>
    <phoneticPr fontId="3" type="noConversion"/>
  </si>
  <si>
    <t>IE</t>
    <phoneticPr fontId="3" type="noConversion"/>
  </si>
  <si>
    <t>Op_Ix</t>
    <phoneticPr fontId="3" type="noConversion"/>
  </si>
  <si>
    <t>Mitral</t>
    <phoneticPr fontId="2" type="noConversion"/>
  </si>
  <si>
    <t>Aortic</t>
    <phoneticPr fontId="3" type="noConversion"/>
  </si>
  <si>
    <t>Tricuspid</t>
    <phoneticPr fontId="3" type="noConversion"/>
  </si>
  <si>
    <t>Concomitant</t>
    <phoneticPr fontId="3" type="noConversion"/>
  </si>
  <si>
    <t>Op</t>
    <phoneticPr fontId="3" type="noConversion"/>
  </si>
  <si>
    <t>PostOp</t>
    <phoneticPr fontId="3" type="noConversion"/>
  </si>
  <si>
    <t>AB</t>
    <phoneticPr fontId="3"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</si>
  <si>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</si>
  <si>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</si>
  <si>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</si>
  <si>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</si>
  <si>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</si>
  <si>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환자번호</t>
    <phoneticPr fontId="3" type="noConversion"/>
  </si>
  <si>
    <t>이름</t>
    <phoneticPr fontId="3" type="noConversion"/>
  </si>
  <si>
    <t>Inclusion_list</t>
    <phoneticPr fontId="3"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</si>
  <si>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</si>
  <si>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</si>
  <si>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</si>
  <si>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</si>
  <si>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</si>
  <si>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</si>
  <si>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</si>
  <si>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</si>
  <si>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Sx. onset</t>
    <phoneticPr fontId="3" type="noConversion"/>
  </si>
  <si>
    <t>myalgia</t>
    <phoneticPr fontId="2" type="noConversion"/>
  </si>
  <si>
    <t>abdominal_pain</t>
    <phoneticPr fontId="2" type="noConversion"/>
  </si>
  <si>
    <t>HTN</t>
    <phoneticPr fontId="3" type="noConversion"/>
  </si>
  <si>
    <t>DM</t>
    <phoneticPr fontId="3" type="noConversion"/>
  </si>
  <si>
    <t>dyslipidemia</t>
    <phoneticPr fontId="3" type="noConversion"/>
  </si>
  <si>
    <t>COPD</t>
    <phoneticPr fontId="3" type="noConversion"/>
  </si>
  <si>
    <t>Obesity</t>
    <phoneticPr fontId="3" type="noConversion"/>
  </si>
  <si>
    <t>Smoking</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</si>
  <si>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</si>
  <si>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</si>
  <si>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</si>
  <si>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</si>
  <si>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</si>
  <si>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비고</t>
    <phoneticPr fontId="3" type="noConversion"/>
  </si>
  <si>
    <t>균주</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</si>
  <si>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</si>
  <si>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</si>
  <si>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</si>
  <si>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</si>
  <si>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</si>
  <si>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CPB_time</t>
    <phoneticPr fontId="3" type="noConversion"/>
  </si>
  <si>
    <t>ACC_time</t>
    <phoneticPr fontId="3" type="noConversion"/>
  </si>
  <si>
    <t>N_BT</t>
    <phoneticPr fontId="3" type="noConversion"/>
  </si>
  <si>
    <t>R_BT</t>
    <phoneticPr fontId="3"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</si>
  <si>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</si>
  <si>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</si>
  <si>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</si>
  <si>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</si>
  <si>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</si>
  <si>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MS</t>
    <phoneticPr fontId="3" type="noConversion"/>
  </si>
  <si>
    <t>MR</t>
    <phoneticPr fontId="3" type="noConversion"/>
  </si>
  <si>
    <t>repair</t>
    <phoneticPr fontId="3" type="noConversion"/>
  </si>
  <si>
    <t>MAP</t>
    <phoneticPr fontId="3" type="noConversion"/>
  </si>
  <si>
    <t>MVP</t>
    <phoneticPr fontId="3" type="noConversion"/>
  </si>
  <si>
    <t>MVR</t>
    <phoneticPr fontId="3" type="noConversion"/>
  </si>
  <si>
    <t>IE_lesion</t>
    <phoneticPr fontId="3" type="noConversion"/>
  </si>
  <si>
    <t>AS</t>
    <phoneticPr fontId="3" type="noConversion"/>
  </si>
  <si>
    <t>AR</t>
    <phoneticPr fontId="3" type="noConversion"/>
  </si>
  <si>
    <t>TS</t>
    <phoneticPr fontId="3" type="noConversion"/>
  </si>
  <si>
    <t>TR</t>
    <phoneticPr fontId="3" type="noConversion"/>
  </si>
  <si>
    <t>CABG</t>
    <phoneticPr fontId="3" type="noConversion"/>
  </si>
  <si>
    <t>maze</t>
    <phoneticPr fontId="3" type="noConversion"/>
  </si>
  <si>
    <t>aorta</t>
    <phoneticPr fontId="3" type="noConversion"/>
  </si>
  <si>
    <t>name</t>
    <phoneticPr fontId="3" type="noConversion"/>
  </si>
  <si>
    <t>입원일</t>
  </si>
  <si>
    <t>퇴원일</t>
  </si>
  <si>
    <t>HD</t>
    <phoneticPr fontId="3" type="noConversion"/>
  </si>
  <si>
    <t>Anti_종료</t>
    <phoneticPr fontId="3"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</si>
  <si>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</si>
  <si>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</si>
  <si>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</si>
  <si>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</si>
  <si>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</si>
  <si>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</si>
  <si>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</si>
  <si>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</si>
  <si>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</si>
  <si>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</si>
  <si>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</si>
  <si>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</si>
  <si>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</si>
  <si>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</si>
  <si>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</si>
  <si>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</si>
  <si>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</si>
  <si>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</si>
  <si>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</si>
  <si>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</si>
  <si>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</si>
  <si>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</si>
  <si>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</si>
  <si>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</si>
  <si>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</si>
  <si>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</si>
  <si>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</si>
  <si>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</si>
  <si>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</si>
  <si>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</si>
  <si>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</si>
  <si>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</si>
  <si>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</si>
  <si>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</si>
  <si>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</si>
  <si>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</si>
  <si>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</si>
  <si>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MVR with ON-X conform-X 25/33mm
TAP with St.Jude Tailor ring 31mm
Removal of vegetations</t>
    <phoneticPr fontId="2" type="noConversion"/>
  </si>
  <si>
    <t>배승서</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</si>
  <si>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</si>
  <si>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</si>
  <si>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</si>
  <si>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</si>
  <si>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</si>
  <si>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MVR with C-E Perimount magna valve 27mm</t>
  </si>
  <si>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</si>
  <si>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</si>
  <si>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</si>
  <si>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</si>
  <si>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</si>
  <si>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</si>
  <si>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</si>
  <si>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</si>
  <si>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</si>
  <si>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최은진</t>
    <phoneticPr fontId="2" type="noConversion"/>
  </si>
  <si>
    <t>Infective endocarditis - Blood culture :MSSA
MR (Severe,P3 prolapse)</t>
    <phoneticPr fontId="2" type="noConversion"/>
  </si>
  <si>
    <t>MSSA</t>
    <phoneticPr fontId="2" type="noConversion"/>
  </si>
  <si>
    <t>Wooler annuloplasty at posteromedial commissure</t>
    <phoneticPr fontId="3" type="noConversion"/>
  </si>
  <si>
    <t>posteromedial commissural fusion</t>
    <phoneticPr fontId="3" type="noConversion"/>
  </si>
  <si>
    <t>MVP (posteromedial commissural fusion)
MAP (Wooler annuloplasty at posteromedial commissure)
debridement of abscess pocket</t>
    <phoneticPr fontId="2" type="noConversion"/>
  </si>
  <si>
    <t>신은정</t>
    <phoneticPr fontId="2" type="noConversion"/>
  </si>
  <si>
    <t>Infective endocarditis, mitral valve 
Persitent bacteremia (2019.12.28-) 
Lt.calf abscess 
 s/p Incision and drainage</t>
    <phoneticPr fontId="2" type="noConversion"/>
  </si>
  <si>
    <t>MVR with SJM 29 mm 
Mitral posterior annulus reconstruction with fresh autopericardium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</si>
  <si>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</si>
  <si>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</si>
  <si>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</si>
  <si>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Streptococcus gordonii</t>
    <phoneticPr fontId="3" type="noConversion"/>
  </si>
  <si>
    <t>Cosgrove-Edwards ring 30 mm</t>
    <phoneticPr fontId="3" type="noConversion"/>
  </si>
  <si>
    <t>P2 triangular resection</t>
    <phoneticPr fontId="3" type="noConversion"/>
  </si>
  <si>
    <t>CE-CG</t>
    <phoneticPr fontId="3" type="noConversion"/>
  </si>
  <si>
    <t>MVP with P2 triangular resection
Removal of vegetation on AMVL and aortomitral continuity
MAP with Cosgrove-Edwards ring 30 mm</t>
    <phoneticPr fontId="2" type="noConversion"/>
  </si>
  <si>
    <t>최종순</t>
    <phoneticPr fontId="2" type="noConversion"/>
  </si>
  <si>
    <t>Infective endocarditis
vegetation on AV, MV, PV
AR (mild)
MR (mild)
TR (mild)
PDA</t>
    <phoneticPr fontId="2" type="noConversion"/>
  </si>
  <si>
    <t>Streptococcus mitis/Streptococcus oralis</t>
    <phoneticPr fontId="3" type="noConversion"/>
  </si>
  <si>
    <t>Microhemorrhages in left frontal cortex and right cerebellar hemisphere</t>
    <phoneticPr fontId="3" type="noConversion"/>
  </si>
  <si>
    <t>leaflet slicing and annular plication</t>
    <phoneticPr fontId="3" type="noConversion"/>
  </si>
  <si>
    <t>PDA</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</si>
  <si>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</si>
  <si>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</si>
  <si>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</si>
  <si>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</si>
  <si>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Enterococcus faecalis</t>
    <phoneticPr fontId="3" type="noConversion"/>
  </si>
  <si>
    <t>SAH, rupture PCOM mycotic aneurysm</t>
    <phoneticPr fontId="3" type="noConversion"/>
  </si>
  <si>
    <t>Cosgrove Edwards annuloplasty ring 28mm</t>
    <phoneticPr fontId="3" type="noConversion"/>
  </si>
  <si>
    <t>P3 plication</t>
    <phoneticPr fontId="3" type="noConversion"/>
  </si>
  <si>
    <t>MVP with P3 plication
MAP with Cosgrove Edwards annuloplasty ring 28mm</t>
    <phoneticPr fontId="2" type="noConversion"/>
  </si>
  <si>
    <t>김순희</t>
    <phoneticPr fontId="2" type="noConversion"/>
  </si>
  <si>
    <t>정수련</t>
    <phoneticPr fontId="2" type="noConversion"/>
  </si>
  <si>
    <t>Infective endocarditis
MR (mild)
R/O Silent myocardial ischaemia
HTN
dyslipidemia</t>
    <phoneticPr fontId="2" type="noConversion"/>
  </si>
  <si>
    <t>magna</t>
    <phoneticPr fontId="3" type="noConversion"/>
  </si>
  <si>
    <t>MVR with C-E PERIMOUNT Magna ease 27mm</t>
  </si>
  <si>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</si>
  <si>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</si>
  <si>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</si>
  <si>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</si>
  <si>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On-X</t>
    <phoneticPr fontId="3" type="noConversion"/>
  </si>
  <si>
    <t>Redo MVR with On-X 25/33 mm</t>
  </si>
  <si>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</si>
  <si>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</si>
  <si>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MVR with C-E perimount magna valve 29mm</t>
  </si>
  <si>
    <t>이지선</t>
    <phoneticPr fontId="2" type="noConversion"/>
  </si>
  <si>
    <t>Infective endocarditis (native valve)
severe MR
Invasive breast cancer</t>
    <phoneticPr fontId="2" type="noConversion"/>
  </si>
  <si>
    <t>MVR with C-E magna 27mm</t>
  </si>
  <si>
    <t>선영숙</t>
    <phoneticPr fontId="2" type="noConversion"/>
  </si>
  <si>
    <t>Infective endocarditis (MV)
MR (Severe)
R/O A. fib (Paroxysmal)</t>
    <phoneticPr fontId="2" type="noConversion"/>
  </si>
  <si>
    <t>MVR with CE Perimount Magna 27mm
Lt. side Maze operation(pulmonary vein isolation) with cryoablation (No LAA procedure)</t>
    <phoneticPr fontId="2" type="noConversion"/>
  </si>
  <si>
    <t>최미희</t>
    <phoneticPr fontId="2" type="noConversion"/>
  </si>
  <si>
    <t>Infective endocarditis (MV)
MR (Mild to moderate)
TR (Mild)
Cerebral infarction
Psoas m. abscess, rt.</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</si>
  <si>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</si>
  <si>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</si>
  <si>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</si>
  <si>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</si>
  <si>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</si>
  <si>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</si>
  <si>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MVP with anterolateral commissuroplasty 
P1, P2 cleft plication 
posterior annular reconstruction with bovine pericardium</t>
    <phoneticPr fontId="2" type="noConversion"/>
  </si>
  <si>
    <t>김윤희</t>
    <phoneticPr fontId="2" type="noConversion"/>
  </si>
  <si>
    <t>Infective endocarditis
vegetation on MV
MR (severe)
TR (mild)
HTN
DM</t>
    <phoneticPr fontId="2" type="noConversion"/>
  </si>
  <si>
    <t>SJT</t>
    <phoneticPr fontId="3" type="noConversion"/>
  </si>
  <si>
    <t>MVR with C-E PERIMOUNT Magna ease 25mm
mitral annular reconstruction with bovine pericardium
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</si>
  <si>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</si>
  <si>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</si>
  <si>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</si>
  <si>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김태연</t>
    <phoneticPr fontId="2" type="noConversion"/>
  </si>
  <si>
    <t>Infective endocarditis
vegetation on MV and LV
MR (mild)
PFO</t>
    <phoneticPr fontId="2" type="noConversion"/>
  </si>
  <si>
    <t>PFO</t>
    <phoneticPr fontId="3" type="noConversion"/>
  </si>
  <si>
    <t>MVP triangular resection (A2)
MAP with Cosgrove Edwards annuloplasty ring 26mm
PFO primary closure</t>
    <phoneticPr fontId="2" type="noConversion"/>
  </si>
  <si>
    <t>이강근</t>
    <phoneticPr fontId="2" type="noConversion"/>
  </si>
  <si>
    <t>Infective endocarditis
vegetation on MV
MR (severe)
HTN</t>
    <phoneticPr fontId="2" type="noConversion"/>
  </si>
  <si>
    <t>장대영</t>
    <phoneticPr fontId="2" type="noConversion"/>
  </si>
  <si>
    <t>Infective endocarditis
vegetation on MV
MR (mild to mederate)
ascending aorta calcification
HCMP
HTN
DM</t>
    <phoneticPr fontId="2" type="noConversion"/>
  </si>
  <si>
    <t>replace</t>
    <phoneticPr fontId="3" type="noConversion"/>
  </si>
  <si>
    <t>MVR with C-E PERIMOUNT Magna ease 29mm
Ascending aorta replacement with Hemashield one branch graft 26mm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</si>
  <si>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</si>
  <si>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</si>
  <si>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SJM</t>
    <phoneticPr fontId="3" type="noConversion"/>
  </si>
  <si>
    <t>Redo MVR with St. Jude Medical regent 31mm
Conventional CABG 
 LITA (in situ graft) to LAD
 SVG (free graft from asc. aorta) to D</t>
    <phoneticPr fontId="2" type="noConversion"/>
  </si>
  <si>
    <t>조현학</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</si>
  <si>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</si>
  <si>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</si>
  <si>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</si>
  <si>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</si>
  <si>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</si>
  <si>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</si>
  <si>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</si>
  <si>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</si>
  <si>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</si>
  <si>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</si>
  <si>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</si>
  <si>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</si>
  <si>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</si>
  <si>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physio ring 32mm</t>
    <phoneticPr fontId="3" type="noConversion"/>
  </si>
  <si>
    <t>artificial chordae formation (A2)</t>
    <phoneticPr fontId="3" type="noConversion"/>
  </si>
  <si>
    <t>CE-P</t>
    <phoneticPr fontId="3" type="noConversion"/>
  </si>
  <si>
    <t>MVP with artificial chordae formation (A2)
MAP with physio ring 32mm</t>
    <phoneticPr fontId="2" type="noConversion"/>
  </si>
  <si>
    <t>김삼엽</t>
    <phoneticPr fontId="2" type="noConversion"/>
  </si>
  <si>
    <t>Infective endocarditis
MR (Moderate)
HCMP
Dynamic LVOT obstruction
Cerebral embolic infarction
HTN</t>
    <phoneticPr fontId="2" type="noConversion"/>
  </si>
  <si>
    <t>MVR with SJM 29mm
Mitral annular reconstruction with autologous pericardium
Septal myectomy</t>
    <phoneticPr fontId="2" type="noConversion"/>
  </si>
  <si>
    <t>곽정은</t>
    <phoneticPr fontId="2" type="noConversion"/>
  </si>
  <si>
    <t>Infective endocarditis
Vegetation on MV
drowsy and confused mentality
 r/o cerebral infarction (2019.5.10)</t>
    <phoneticPr fontId="2" type="noConversion"/>
  </si>
  <si>
    <t>Hancock</t>
    <phoneticPr fontId="3" type="noConversion"/>
  </si>
  <si>
    <t>MVR with Hancock valve 27mm
(both chordae saving)</t>
    <phoneticPr fontId="2" type="noConversion"/>
  </si>
  <si>
    <t>정충근</t>
    <phoneticPr fontId="2" type="noConversion"/>
  </si>
  <si>
    <t>Infective endocarditis of native mitral valve
MR (severe)</t>
    <phoneticPr fontId="2" type="noConversion"/>
  </si>
  <si>
    <t>MVR with On-X comform-X mitral 25/33mm
MV Vegetation removal</t>
    <phoneticPr fontId="2" type="noConversion"/>
  </si>
  <si>
    <t>강문자</t>
    <phoneticPr fontId="2" type="noConversion"/>
  </si>
  <si>
    <t>Infective endocarditis
MR (severe)
AML
 s/p chemotherapy (18.11.08)
Lt MCA infarction with hemorrhagic change (19.01)</t>
    <phoneticPr fontId="2" type="noConversion"/>
  </si>
  <si>
    <t>perimount</t>
    <phoneticPr fontId="3" type="noConversion"/>
  </si>
  <si>
    <t xml:space="preserve">MVR with Carpentier-Edwards PERIMOUNT Magna Ease 27mm
MV vegetation removal
</t>
    <phoneticPr fontId="2" type="noConversion"/>
  </si>
  <si>
    <t>박창곤</t>
    <phoneticPr fontId="2" type="noConversion"/>
  </si>
  <si>
    <t>Infective endocarditis
MR (mild to moderate) 
 s/p MVR via thoracotomy (2007, 경북대)</t>
    <phoneticPr fontId="2" type="noConversion"/>
  </si>
  <si>
    <t>Medtronic Mosaic</t>
  </si>
  <si>
    <t>redo MVR with Mosaic valve 29mm</t>
    <phoneticPr fontId="2" type="noConversion"/>
  </si>
  <si>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</si>
  <si>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</si>
  <si>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</si>
  <si>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이준용</t>
    <phoneticPr fontId="2" type="noConversion"/>
  </si>
  <si>
    <t>Infective endocarditis 
MR (mild)
Multifocal embolic infarction (spleen, kidney, brain)
Hemorrhagic stroke d/t septic embolism</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</si>
  <si>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</si>
  <si>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</si>
  <si>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툰툰</t>
    <phoneticPr fontId="2" type="noConversion"/>
  </si>
  <si>
    <t>Infective endocarditis 
MR (moderate)
 s/p craniectomy (SDH, SAH. 2019.1.1)</t>
    <phoneticPr fontId="2" type="noConversion"/>
  </si>
  <si>
    <t>MRSA</t>
    <phoneticPr fontId="3" type="noConversion"/>
  </si>
  <si>
    <t>BP</t>
    <phoneticPr fontId="3" type="noConversion"/>
  </si>
  <si>
    <t>Vegetation removal on mitral valve and LV cavity 
MR repair 
 - MVP with obliteration of PM commissure using GA-fixed autologous pericardium 
 - MAP with folded bovine pericardial strip</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</si>
  <si>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</si>
  <si>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</si>
  <si>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</si>
  <si>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</si>
  <si>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</si>
  <si>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</si>
  <si>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강상현</t>
    <phoneticPr fontId="2" type="noConversion"/>
  </si>
  <si>
    <t>Infective endocarditis of native mitral valve
h/o Cerebral infarction (Lt.MCA) (07.01.28)
s/p PFO closure with 25 mm Cocoon PFO device (2017.11.2)</t>
    <phoneticPr fontId="2" type="noConversion"/>
  </si>
  <si>
    <t>MVR with ON-X conform-X 25/33mm</t>
  </si>
  <si>
    <t>정화영</t>
    <phoneticPr fontId="2" type="noConversion"/>
  </si>
  <si>
    <t>Infective endocarditis of native mitral valve</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</si>
  <si>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</si>
  <si>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</si>
  <si>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</si>
  <si>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</si>
  <si>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</si>
  <si>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</si>
  <si>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</si>
  <si>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</si>
  <si>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</si>
  <si>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MVP with triangular resection (P2)
MAP with Cosgrove Edwards annuloplasty ring 32mm</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</si>
  <si>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</si>
  <si>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</si>
  <si>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</si>
  <si>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</si>
  <si>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</si>
  <si>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</si>
  <si>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</si>
  <si>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</si>
  <si>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</si>
  <si>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</si>
  <si>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</si>
  <si>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MVR with CE Perimount MAGNA EASE 31 mm</t>
    <phoneticPr fontId="2" type="noConversion"/>
  </si>
  <si>
    <t>양동훈</t>
    <phoneticPr fontId="2" type="noConversion"/>
  </si>
  <si>
    <t>Infective endocarditis (chronic)
MR (severe, P2 prolapse)</t>
    <phoneticPr fontId="2" type="noConversion"/>
  </si>
  <si>
    <t>da Vinci MVP 
 - Plication between P2 and P3</t>
    <phoneticPr fontId="2" type="noConversion"/>
  </si>
  <si>
    <t>Da Vinci</t>
    <phoneticPr fontId="3" type="noConversion"/>
  </si>
  <si>
    <t>황상봉</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</si>
  <si>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</si>
  <si>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</si>
  <si>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</si>
  <si>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</si>
  <si>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</si>
  <si>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</si>
  <si>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</si>
  <si>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MVR with On-X 25mm</t>
    <phoneticPr fontId="2" type="noConversion"/>
  </si>
  <si>
    <t>정문현</t>
    <phoneticPr fontId="2" type="noConversion"/>
  </si>
  <si>
    <t>Infective endocarditis
MR (Severe, A3 prolapse)</t>
    <phoneticPr fontId="2" type="noConversion"/>
  </si>
  <si>
    <t>MVR with SJM 33mm (ant. &amp; post. chordae saving)</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</si>
  <si>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</si>
  <si>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</si>
  <si>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</si>
  <si>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Cosgrove ring 28mm</t>
    <phoneticPr fontId="3" type="noConversion"/>
  </si>
  <si>
    <t>`- fusion of AL commissure 
- Plication between P1 and P2</t>
    <phoneticPr fontId="3" type="noConversion"/>
  </si>
  <si>
    <t>MR repair 
 - MVP with fusion of AL commissure 
            Plication between P1 and P2 
 - MAP with Cosgrove ring 28mm (x9)</t>
    <phoneticPr fontId="2"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</si>
  <si>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</si>
  <si>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</si>
  <si>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</si>
  <si>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김윤식</t>
    <phoneticPr fontId="2" type="noConversion"/>
  </si>
  <si>
    <t xml:space="preserve"> Infective endocarditis
MR (severe)
PFO</t>
    <phoneticPr fontId="2" type="noConversion"/>
  </si>
  <si>
    <t xml:space="preserve"> MVR with On-X conform-X 25/33mm
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</si>
  <si>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</si>
  <si>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</si>
  <si>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</si>
  <si>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</si>
  <si>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</si>
  <si>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Carpentier-Edward ring 32mm</t>
    <phoneticPr fontId="3" type="noConversion"/>
  </si>
  <si>
    <t>A3, P3 plication</t>
    <phoneticPr fontId="3" type="noConversion"/>
  </si>
  <si>
    <t xml:space="preserve"> MVP with A3, P3 plication
MAP with Carpentier-Edward ring 32mm</t>
    <phoneticPr fontId="2" type="noConversion"/>
  </si>
  <si>
    <t>유주이</t>
    <phoneticPr fontId="2" type="noConversion"/>
  </si>
  <si>
    <t xml:space="preserve"> Infective endocarditis of MV and LV basal inferior wall
MR (mild)</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</si>
  <si>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</si>
  <si>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</si>
  <si>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</si>
  <si>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</si>
  <si>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</si>
  <si>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</si>
  <si>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</si>
  <si>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 xml:space="preserve"> MVR with On-X 27/29mm
Conventional CABG
 SVG (free graft from asc. aorta) to PDA</t>
    <phoneticPr fontId="2" type="noConversion"/>
  </si>
  <si>
    <t>박만태</t>
    <phoneticPr fontId="2" type="noConversion"/>
  </si>
  <si>
    <t>Infective endocarditis of native miral valve  
aortic valve vegetation</t>
    <phoneticPr fontId="2" type="noConversion"/>
  </si>
  <si>
    <t>MVR with CE perimount EASE 25 mm 
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</si>
  <si>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</si>
  <si>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</si>
  <si>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</si>
  <si>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홍다은</t>
    <phoneticPr fontId="2" type="noConversion"/>
  </si>
  <si>
    <t>Infective endocarditis, native valve
Vegetation on MV  (P2)</t>
    <phoneticPr fontId="2" type="noConversion"/>
  </si>
  <si>
    <t xml:space="preserve"> MVR with SJM 29 mm</t>
    <phoneticPr fontId="2" type="noConversion"/>
  </si>
  <si>
    <t>장미희</t>
    <phoneticPr fontId="2" type="noConversion"/>
  </si>
  <si>
    <t xml:space="preserve"> #. R/o Infective Endocarditis (MV)
#. R/o fibroelastoma of AV
#. MS (severe)
#. LA thrombus
#. A.fib
#. Multiple cerebral infarction</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</si>
  <si>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</si>
  <si>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</si>
  <si>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성귀자</t>
    <phoneticPr fontId="2" type="noConversion"/>
  </si>
  <si>
    <t>Infective endocarditis 
MR (mild)
PMVL vegetation
Multiple territory multiple scattered infarction
HTN</t>
    <phoneticPr fontId="2" type="noConversion"/>
  </si>
  <si>
    <t>MVR with ON-X 25/33mm
Mitral annular reconstruction with bovine pericardium</t>
    <phoneticPr fontId="2" type="noConversion"/>
  </si>
  <si>
    <t>문홍준</t>
    <phoneticPr fontId="2" type="noConversion"/>
  </si>
  <si>
    <t xml:space="preserve"> Infective endocarditis
Vegitation on MV
MR (moderate)
TR (mild)
ICH (2018.3.27)
Paroxysmal A.fib</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</si>
  <si>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</si>
  <si>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</si>
  <si>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</si>
  <si>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류천우</t>
    <phoneticPr fontId="2" type="noConversion"/>
  </si>
  <si>
    <t>Infective endocarditis
MR (severe)</t>
    <phoneticPr fontId="2" type="noConversion"/>
  </si>
  <si>
    <t xml:space="preserve"> MVR with 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</si>
  <si>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</si>
  <si>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</si>
  <si>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 xml:space="preserve"> MVR with Carpentier Edward Perimount Ease 27mm
Mitral annular reconstruction with Bovine pericardial patch</t>
    <phoneticPr fontId="2" type="noConversion"/>
  </si>
  <si>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</si>
  <si>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</si>
  <si>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</si>
  <si>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</si>
  <si>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</si>
  <si>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 xml:space="preserve"> MVR with SJM 25 mm</t>
    <phoneticPr fontId="2" type="noConversion"/>
  </si>
  <si>
    <t>최계자</t>
    <phoneticPr fontId="2" type="noConversion"/>
  </si>
  <si>
    <t>MR (severe, P2,P3 chordaerupture)
r/o infective endocarditis</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</si>
  <si>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</si>
  <si>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</si>
  <si>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</si>
  <si>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</si>
  <si>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</si>
  <si>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</si>
  <si>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</si>
  <si>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</si>
  <si>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</si>
  <si>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</si>
  <si>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</si>
  <si>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 xml:space="preserve"> MVR with On-X 23mm
Mitral annular reconstruction with Bovine pericardial patch
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</si>
  <si>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</si>
  <si>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</si>
  <si>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</si>
  <si>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</si>
  <si>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</si>
  <si>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김병일</t>
    <phoneticPr fontId="2" type="noConversion"/>
  </si>
  <si>
    <t xml:space="preserve"> R/O Infective endocarditis
MR (mild to moderate, P2, A2 chordae rupture)
DM, HTN</t>
    <phoneticPr fontId="2" type="noConversion"/>
  </si>
  <si>
    <t>multiple annular plication</t>
    <phoneticPr fontId="3" type="noConversion"/>
  </si>
  <si>
    <t>P2 triangular resection</t>
  </si>
  <si>
    <t>MVP with P2 triangular resection 
MAP with multiple plication</t>
    <phoneticPr fontId="2" type="noConversion"/>
  </si>
  <si>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</si>
  <si>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</si>
  <si>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</si>
  <si>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</si>
  <si>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</si>
  <si>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</si>
  <si>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</si>
  <si>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</si>
  <si>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</si>
  <si>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</si>
  <si>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</si>
  <si>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</si>
  <si>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</si>
  <si>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</si>
  <si>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</si>
  <si>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</si>
  <si>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 xml:space="preserve"> MAP with multiple plication 
AV exploration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</si>
  <si>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</si>
  <si>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</si>
  <si>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</si>
  <si>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</si>
  <si>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</si>
  <si>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</si>
  <si>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</si>
  <si>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</si>
  <si>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Duran</t>
    <phoneticPr fontId="3"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</si>
  <si>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</si>
  <si>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</si>
  <si>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</si>
  <si>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</si>
  <si>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</si>
  <si>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</si>
  <si>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</si>
  <si>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</si>
  <si>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</si>
  <si>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</si>
  <si>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MVR with C-E Perimount magna 29mm</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</si>
  <si>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</si>
  <si>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</si>
  <si>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</si>
  <si>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MVR with C-E Perimount Magna 25mm</t>
    <phoneticPr fontId="2" type="noConversion"/>
  </si>
  <si>
    <t>우경희</t>
  </si>
  <si>
    <t>F</t>
  </si>
  <si>
    <t>김욱성</t>
  </si>
  <si>
    <t xml:space="preserve"> Infective endocarditis (vegitation on MV)
 MR (severe)</t>
    <phoneticPr fontId="2" type="noConversion"/>
  </si>
  <si>
    <t>MVR with 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</si>
  <si>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</si>
  <si>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</si>
  <si>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</si>
  <si>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</si>
  <si>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</si>
  <si>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</si>
  <si>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</si>
  <si>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</si>
  <si>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</si>
  <si>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MVR with On-X mitral valve 31/33 mm
TAP with St. Jude Tailor annuloplasty ring 33mm</t>
    <phoneticPr fontId="2" type="noConversion"/>
  </si>
  <si>
    <t>김시찬</t>
    <phoneticPr fontId="2" type="noConversion"/>
  </si>
  <si>
    <t>Infective endocarditis (Acute)
  with MR (severe, eccentric, d/t A1 prolapse)</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</si>
  <si>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</si>
  <si>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</si>
  <si>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</si>
  <si>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임영호</t>
    <phoneticPr fontId="2" type="noConversion"/>
  </si>
  <si>
    <t>Infective endocarditis(mitral valve)
MR (minimal)</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</si>
  <si>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</si>
  <si>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</si>
  <si>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</si>
  <si>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</si>
  <si>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</si>
  <si>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</si>
  <si>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</si>
  <si>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</si>
  <si>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MVR with 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</si>
  <si>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</si>
  <si>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</si>
  <si>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CE</t>
    <phoneticPr fontId="3" type="noConversion"/>
  </si>
  <si>
    <t>Redo-sternotomy
- Redo MVR with Carpentier Edwards M27mm</t>
    <phoneticPr fontId="2" type="noConversion"/>
  </si>
  <si>
    <t>김정숙</t>
  </si>
  <si>
    <t>Infective endocarditis on MV</t>
    <phoneticPr fontId="2" type="noConversion"/>
  </si>
  <si>
    <t>MVR with Carpentier-Edwards Perimount 27mm
TAP with Duran ring 29mm</t>
    <phoneticPr fontId="2"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</si>
  <si>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</si>
  <si>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</si>
  <si>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</si>
  <si>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</si>
  <si>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</si>
  <si>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</si>
  <si>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</si>
  <si>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박범영</t>
  </si>
  <si>
    <t>Infective endocarditis, Native valve
Vegetation on MV
MR (moderate to severe)
Silent ischemia with 2VDs
DM
HTN</t>
  </si>
  <si>
    <t>MVR with On-X 27/29mm
CABG 
  LITA (in situ graft) to LAD
  RITA (Y graft from LITA) to D-OM</t>
  </si>
  <si>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</si>
  <si>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</si>
  <si>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</si>
  <si>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</si>
  <si>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</si>
  <si>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</si>
  <si>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</si>
  <si>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</si>
  <si>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</si>
  <si>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</si>
  <si>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MVR with 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</si>
  <si>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</si>
  <si>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</si>
  <si>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</si>
  <si>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</si>
  <si>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</si>
  <si>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</si>
  <si>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Redo-sternotomy
MVR with St. Jude Medical mechanical valve 31mm</t>
  </si>
  <si>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</si>
  <si>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</si>
  <si>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</si>
  <si>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</si>
  <si>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 xml:space="preserve">bovine pericardium </t>
    <phoneticPr fontId="3" type="noConversion"/>
  </si>
  <si>
    <t>`- artificial chordae implantation with 5-0 Gore-Tex (P2) 
- anterolateral commissure fusion</t>
    <phoneticPr fontId="3" type="noConversion"/>
  </si>
  <si>
    <t>MVP : artificial chordae implantation with 5-0 Gore-Tex (P2) 
      anterolateral commissure fusion 
MAP with bovine pericardial strip
via redo sternotomy</t>
  </si>
  <si>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</si>
  <si>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</si>
  <si>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</si>
  <si>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</si>
  <si>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권도연</t>
  </si>
  <si>
    <t>infective endocarditis of native mitral valve 
(mobile vegetation attached to AMVL, severe MR)
Acute pyelonephritis</t>
  </si>
  <si>
    <t>MVR with St. Jude medical mitral 27mm</t>
  </si>
  <si>
    <t>최지인</t>
  </si>
  <si>
    <t>Infective endocarditis with severe MR 
  - blood culture : Gram (-) bacilli (2016.08.08, 이대목동병원)
TR (moderate, functional)
PFO</t>
  </si>
  <si>
    <t>MVR with Carpentier-Edwards PERIMOUNT Plus 25mm
PFO primary closure</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</si>
  <si>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</si>
  <si>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</si>
  <si>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</si>
  <si>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</si>
  <si>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</si>
  <si>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</si>
  <si>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</si>
  <si>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</si>
  <si>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</si>
  <si>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</si>
  <si>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</si>
  <si>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</si>
  <si>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</si>
  <si>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MVR with Carpentier Edward 27mm</t>
  </si>
  <si>
    <t>성충실</t>
  </si>
  <si>
    <t>Active infective endocarditis of native valve
Mitral regurgitation</t>
  </si>
  <si>
    <t>MVR with St. Jude Medical mechanical valve 25mm
Mitral annular reconstruction with bovine pericardial patch</t>
  </si>
  <si>
    <t>차석환</t>
  </si>
  <si>
    <t>Infective endocarditis (native valve) with MR (severe, anterior lateral commissure/A1 
chordae rupture ) 
Silent ischemia with 2 VDs</t>
  </si>
  <si>
    <t>DM foot</t>
    <phoneticPr fontId="3"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</si>
  <si>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</si>
  <si>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</si>
  <si>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</si>
  <si>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</si>
  <si>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</si>
  <si>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</si>
  <si>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</si>
  <si>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</si>
  <si>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</si>
  <si>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</si>
  <si>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</si>
  <si>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</si>
  <si>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MVR with Carpentier Edwards Perimount plus M29mm</t>
  </si>
  <si>
    <t>정해성</t>
  </si>
  <si>
    <t>Infective endocarditis, native valve
  MR (severe)</t>
  </si>
  <si>
    <t>MVR with On-X M31/33mm</t>
  </si>
  <si>
    <t>김문옥</t>
  </si>
  <si>
    <t>Mitral regurgitation (predominant)
Infective endocarditis, native valve</t>
  </si>
  <si>
    <t>MVR with Carpentier-Edwards Perimount 27mm</t>
  </si>
  <si>
    <t>박종갑</t>
  </si>
  <si>
    <t>Infective endocarditis, native valve
Vegetation on MV
MR (severe)</t>
  </si>
  <si>
    <t>고은미</t>
  </si>
  <si>
    <t>Infective endocarditis
  Lactobacillus rhamnosus bacteremia
  Cerebral infaction, Rt.Frontal
Hyperthyroidism c thyrotoxicosis s/p RAI (2007)
PDA s/p PDA closure (1994)
MR s/p mitral annuloplasty (2005)</t>
  </si>
  <si>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</si>
  <si>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</si>
  <si>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</si>
  <si>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</si>
  <si>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</si>
  <si>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</si>
  <si>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</si>
  <si>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</si>
  <si>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</si>
  <si>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</si>
  <si>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</si>
  <si>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MVR with Capentier Edwards M 29mm</t>
  </si>
  <si>
    <t>35240405</t>
  </si>
  <si>
    <t>강명숙</t>
  </si>
  <si>
    <t>1934-12-29</t>
    <phoneticPr fontId="3"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</si>
  <si>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</si>
  <si>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</si>
  <si>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</si>
  <si>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</si>
  <si>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</si>
  <si>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</si>
  <si>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</si>
  <si>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</si>
  <si>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</si>
  <si>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</si>
  <si>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</si>
  <si>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</si>
  <si>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MVR with ON-X 27 mm
Conventional CABG
   - LITA(in situ graft)-LAD</t>
  </si>
  <si>
    <t>양용창</t>
  </si>
  <si>
    <t>1966-07-18</t>
    <phoneticPr fontId="3" type="noConversion"/>
  </si>
  <si>
    <t>MR (severe, acute d/t P2 prolapse and chorda rupture)
R/O Infective endocarditis</t>
  </si>
  <si>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</si>
  <si>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</si>
  <si>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</si>
  <si>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</si>
  <si>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</si>
  <si>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</si>
  <si>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</si>
  <si>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34731670</t>
  </si>
  <si>
    <t>김화자</t>
  </si>
  <si>
    <t>1942-06-02</t>
    <phoneticPr fontId="3" type="noConversion"/>
  </si>
  <si>
    <t>Infective endocarditis(vegetation on mitral valve, 외부 Cx.상 GPC +)
MR(severe, P2 prolapse with vegetation on P2 &amp; anterior leaflet)
HTN(since 2014)</t>
  </si>
  <si>
    <t>Vegetation removal with mitral valve
MVR with C-E Perimount 27mm valve</t>
  </si>
  <si>
    <t>황석원</t>
  </si>
  <si>
    <t>1990-01-11</t>
    <phoneticPr fontId="3" type="noConversion"/>
  </si>
  <si>
    <t>Infective endocarditis 
Vegetation on Mitral valve
MR (severe)
persistent LSVC</t>
  </si>
  <si>
    <t>MVR with On-X M25mm
Mitral annular reconstruction with Bovine pericardial patch</t>
  </si>
  <si>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</si>
  <si>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</si>
  <si>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</si>
  <si>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</si>
  <si>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</si>
  <si>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</si>
  <si>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</si>
  <si>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</si>
  <si>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</si>
  <si>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</si>
  <si>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</si>
  <si>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34535056</t>
  </si>
  <si>
    <t>이선호</t>
  </si>
  <si>
    <t>1957-01-28</t>
    <phoneticPr fontId="3" type="noConversion"/>
  </si>
  <si>
    <t>Infective endocarditis (mitral, healed)
  - mild MR</t>
  </si>
  <si>
    <t>Mitral valve repair
  - Removal of healed vegetation at P2 annulus
  - Posterior leaflet slicing</t>
  </si>
  <si>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</si>
  <si>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</si>
  <si>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</si>
  <si>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</si>
  <si>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</si>
  <si>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</si>
  <si>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</si>
  <si>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</si>
  <si>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</si>
  <si>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</si>
  <si>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</si>
  <si>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</si>
  <si>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</si>
  <si>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</si>
  <si>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</si>
  <si>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</si>
  <si>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</si>
  <si>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</si>
  <si>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</si>
  <si>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</si>
  <si>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</si>
  <si>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</si>
  <si>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</si>
  <si>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</si>
  <si>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MVR with CE Perimount Magna 25 mm
TV exploration</t>
    <phoneticPr fontId="3" type="noConversion"/>
  </si>
  <si>
    <t>유명선</t>
  </si>
  <si>
    <t>Infective endocarditis of native miral valve with MR(Severe eccentric MR with MVP)
AKI</t>
  </si>
  <si>
    <t>MVR with Carpentier-Edward Perimount Magna 27mm</t>
  </si>
  <si>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</si>
  <si>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</si>
  <si>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</si>
  <si>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</si>
  <si>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</si>
  <si>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</si>
  <si>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</si>
  <si>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</si>
  <si>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MVR with Carpentier Edwards 25mm</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</si>
  <si>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</si>
  <si>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</si>
  <si>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</si>
  <si>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</si>
  <si>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</si>
  <si>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</si>
  <si>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</si>
  <si>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</si>
  <si>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</si>
  <si>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Vegetation removal on MV
MAP : Posterior annulus
AVP : NCC slicing, commissuroplasty(NCC/RCC, NCC/LCC)
PFO primary closure</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</si>
  <si>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</si>
  <si>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</si>
  <si>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</si>
  <si>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</si>
  <si>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</si>
  <si>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</si>
  <si>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</si>
  <si>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</si>
  <si>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</si>
  <si>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</si>
  <si>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</si>
  <si>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</si>
  <si>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S.cristatus</t>
    <phoneticPr fontId="3" type="noConversion"/>
  </si>
  <si>
    <t>Rt MCA infacrtion -&gt; Multiple ICH,</t>
    <phoneticPr fontId="3" type="noConversion"/>
  </si>
  <si>
    <t>MVP 
  : triangular resection of P2
  : anterior leaflet repair with fresh autologous pericardium
Posterior mitral annular plication</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</si>
  <si>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</si>
  <si>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</si>
  <si>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</si>
  <si>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이경숙</t>
  </si>
  <si>
    <t>Infective endocarditis</t>
  </si>
  <si>
    <t>s/p KT</t>
    <phoneticPr fontId="3" type="noConversion"/>
  </si>
  <si>
    <t>meningitis</t>
    <phoneticPr fontId="3" type="noConversion"/>
  </si>
  <si>
    <t>Vegetation removal 
AVP : NCC slicing &amp; commissuroplasty (NCC-RCC, NCC-LCC)
MAP : mitral annula plication</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</si>
  <si>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</si>
  <si>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</si>
  <si>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</si>
  <si>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</si>
  <si>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</si>
  <si>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</si>
  <si>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</si>
  <si>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</si>
  <si>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</si>
  <si>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</si>
  <si>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</si>
  <si>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</si>
  <si>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강석주</t>
  </si>
  <si>
    <t>1977-10-13</t>
    <phoneticPr fontId="3" type="noConversion"/>
  </si>
  <si>
    <t>Infective endocarditis with vegetation, native mitral valve
MR (moderate to severe)</t>
    <phoneticPr fontId="3" type="noConversion"/>
  </si>
  <si>
    <t>annular recon</t>
    <phoneticPr fontId="3" type="noConversion"/>
  </si>
  <si>
    <t>MVR with SJM Masters Series 31mm
Posterior mitral annular (P1 &amp; P2 separate patch) reconstruction with bovine pericardium</t>
    <phoneticPr fontId="3" type="noConversion"/>
  </si>
  <si>
    <t>구연휘</t>
  </si>
  <si>
    <t>1959-02-16</t>
    <phoneticPr fontId="3" type="noConversion"/>
  </si>
  <si>
    <t xml:space="preserve"> Infective endocarditis(MV)    
Unstable angina with 1VD</t>
    <phoneticPr fontId="3"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</si>
  <si>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</si>
  <si>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</si>
  <si>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</si>
  <si>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</si>
  <si>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 xml:space="preserve"> MVR with Carpentier-Edwards PERIMOUNT Plus 27mm
Posterior mitral annular reconstruction with bovine pericardial strip</t>
    <phoneticPr fontId="3" type="noConversion"/>
  </si>
  <si>
    <t>유승찬</t>
  </si>
  <si>
    <t>1982-08-15</t>
    <phoneticPr fontId="3" type="noConversion"/>
  </si>
  <si>
    <t>Native valve infective endocarditis
MR(minimal)
TR(minimal to mild)</t>
  </si>
  <si>
    <t>septic embolic infarction</t>
    <phoneticPr fontId="3" type="noConversion"/>
  </si>
  <si>
    <t>Mitral annular reconstruction with bovine pericardium
MAP with bovine pericardial strip
TVP
TAP with bovine pericardial strip</t>
  </si>
  <si>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</si>
  <si>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</si>
  <si>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</si>
  <si>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</si>
  <si>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</si>
  <si>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</si>
  <si>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</si>
  <si>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Epic</t>
    <phoneticPr fontId="3" type="noConversion"/>
  </si>
  <si>
    <t>MVR with St. jude epic valve 33mm
TAP with St.jude Duran ring 29m
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</si>
  <si>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</si>
  <si>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</si>
  <si>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</si>
  <si>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</si>
  <si>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</si>
  <si>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</si>
  <si>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</si>
  <si>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</si>
  <si>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</si>
  <si>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</si>
  <si>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Native valve infective endocarditis
MR(severe)</t>
  </si>
  <si>
    <t>splenic infarction</t>
    <phoneticPr fontId="3" type="noConversion"/>
  </si>
  <si>
    <t>MVP : posteromedial commissural fusion</t>
  </si>
  <si>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</si>
  <si>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</si>
  <si>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</si>
  <si>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</si>
  <si>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</si>
  <si>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</si>
  <si>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정재홍</t>
  </si>
  <si>
    <t>1986-09-14</t>
    <phoneticPr fontId="3" type="noConversion"/>
  </si>
  <si>
    <t>Native valve infective endocarditis 
MR(moderate to severe)
TR(severe)</t>
  </si>
  <si>
    <t>MVR with St. Jude Medical 29mm
Posterior mitral annular reconstruction with bovine pericardium
TAP with St. Jude Tailor ring 33mm
TVP : anteroseptal commissural fusion</t>
  </si>
  <si>
    <t>김응규</t>
  </si>
  <si>
    <t>1985-10-15</t>
    <phoneticPr fontId="3" type="noConversion"/>
  </si>
  <si>
    <t>Native valve infective endocarditis 
Vegetation in prolapsed posterior leaflet
MR(moderate to severe)
acute embolic stroke &amp; splenic infarction</t>
  </si>
  <si>
    <t>MVR with 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</si>
  <si>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</si>
  <si>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</si>
  <si>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</si>
  <si>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</si>
  <si>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윤상녀</t>
  </si>
  <si>
    <t>1942-02-03</t>
    <phoneticPr fontId="3"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</si>
  <si>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</si>
  <si>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</si>
  <si>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</si>
  <si>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</si>
  <si>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</si>
  <si>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</si>
  <si>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</si>
  <si>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</si>
  <si>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</si>
  <si>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</si>
  <si>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</si>
  <si>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</si>
  <si>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LA vegetation removal
MVP with A1 artificial chorda formation &amp; anterolateral commissuroplasty
MAP with Cosgrove-Edwards Annuloplasty ring 30mm</t>
  </si>
  <si>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</si>
  <si>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</si>
  <si>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</si>
  <si>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</si>
  <si>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백다예</t>
  </si>
  <si>
    <t>1993-09-25</t>
    <phoneticPr fontId="3" type="noConversion"/>
  </si>
  <si>
    <t>Infective endocarditis (MV)</t>
  </si>
  <si>
    <t>MVP with posteromedial commissuroplasty 
MAP with partial posterior annuloplasty 
RA exploration</t>
  </si>
  <si>
    <t>진영자</t>
  </si>
  <si>
    <t>1966-03-18</t>
    <phoneticPr fontId="3" type="noConversion"/>
  </si>
  <si>
    <t>Infective endocarditis, native valve (mitral valve)
MS (moderate to severe, rheumatic)
Brain infarction</t>
  </si>
  <si>
    <t>MVR with On-X mitral valve 27/29 
LAA internal obliteration</t>
  </si>
  <si>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</si>
  <si>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</si>
  <si>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</si>
  <si>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</si>
  <si>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</si>
  <si>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이헌수</t>
  </si>
  <si>
    <t>1963-01-06</t>
    <phoneticPr fontId="3" type="noConversion"/>
  </si>
  <si>
    <t>Infective endocarditis of native mitral valve
MR (moderate to severe)       
Atrial fibrillation</t>
  </si>
  <si>
    <t>MVR with On-X valve 31/33m
LAA internal obliteration</t>
  </si>
  <si>
    <t>김명순</t>
  </si>
  <si>
    <t>1951-06-13</t>
    <phoneticPr fontId="3"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</si>
  <si>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</si>
  <si>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</si>
  <si>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박관준</t>
  </si>
  <si>
    <t>1956-09-27</t>
    <phoneticPr fontId="3" type="noConversion"/>
  </si>
  <si>
    <t>Infective endocarditis, native valve</t>
  </si>
  <si>
    <t>MVR with On-X 27/29 valve</t>
  </si>
  <si>
    <t>이계순</t>
  </si>
  <si>
    <t>1953-05-24</t>
    <phoneticPr fontId="3" type="noConversion"/>
  </si>
  <si>
    <t>Infective endocarditis with vegetation
MsR (mild to moderate MS, Severe MR, infective)
Persistent LSVC</t>
  </si>
  <si>
    <t>MVR with ON-X 27mm</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</si>
  <si>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</si>
  <si>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</si>
  <si>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</si>
  <si>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</si>
  <si>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</si>
  <si>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</si>
  <si>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</si>
  <si>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</si>
  <si>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</si>
  <si>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</si>
  <si>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</si>
  <si>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</si>
  <si>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</si>
  <si>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</si>
  <si>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Mitral valve Vegetation removal
MVP with artificial chordae formation (A2)
MAP with posterior annular plication and wooler method</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</si>
  <si>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</si>
  <si>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</si>
  <si>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</si>
  <si>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</si>
  <si>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</si>
  <si>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</si>
  <si>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</si>
  <si>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</si>
  <si>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</si>
  <si>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Acute and subacute infective endocarditis</t>
  </si>
  <si>
    <t>이명순</t>
  </si>
  <si>
    <t>1949-10-07</t>
  </si>
  <si>
    <t>Infective endocarditis (native mitral valve)
MR (severe)                   
TR (severe)                   
HTN                           
DM</t>
  </si>
  <si>
    <t>MVR with SJM Masters Series 29mm
TAP with SJM Tailor Annuloplasty ring 29mm</t>
  </si>
  <si>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</si>
  <si>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</si>
  <si>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</si>
  <si>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</si>
  <si>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</si>
  <si>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</si>
  <si>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</si>
  <si>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</si>
  <si>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</si>
  <si>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</si>
  <si>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</si>
  <si>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</si>
  <si>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</si>
  <si>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</si>
  <si>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</si>
  <si>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</si>
  <si>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박영주</t>
  </si>
  <si>
    <t>1983-02-04</t>
  </si>
  <si>
    <t>Infective endocarditis, native valve
 - MR (severe eccentric, AML prolapse, chordal rupture)
Lower back pain, r/o infectious spondylitis</t>
  </si>
  <si>
    <t>MVP with posteromedial commissuroplasty</t>
  </si>
  <si>
    <t>정유미</t>
  </si>
  <si>
    <t>1985-04-03</t>
  </si>
  <si>
    <t>Infective endocarditis, native valve
 - MR (moderate eccentric) with vegetation on P3 leaflet
ASD (secundum, small, two)</t>
  </si>
  <si>
    <t>MVP with P3 quadriangular resection
Wooler's method
ASD primary closure</t>
  </si>
  <si>
    <t>백승찬</t>
  </si>
  <si>
    <t>1979-12-14</t>
  </si>
  <si>
    <t>IE (MV, acute)                
MR(severe)                    
TR(minimal)</t>
  </si>
  <si>
    <t>MVP with artificial chordae formation (A3)</t>
  </si>
  <si>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</si>
  <si>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</si>
  <si>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</si>
  <si>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</si>
  <si>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</si>
  <si>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 annuloplasty ring (vascular strip) removal
- annular repair with continuous suture</t>
    <phoneticPr fontId="3" type="noConversion"/>
  </si>
  <si>
    <t>2nd open heart surgery
 - redo MVP
   - vegetation removal
   - annuloplasty ring (vascular strip) removal
   - annular repair with continuous suture</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</si>
  <si>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</si>
  <si>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</si>
  <si>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</si>
  <si>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</si>
  <si>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</si>
  <si>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</si>
  <si>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</si>
  <si>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</si>
  <si>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</si>
  <si>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</si>
  <si>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</si>
  <si>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</si>
  <si>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</si>
  <si>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</si>
  <si>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</si>
  <si>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</si>
  <si>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</si>
  <si>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</si>
  <si>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</si>
  <si>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</si>
  <si>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</si>
  <si>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</si>
  <si>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</si>
  <si>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MVP
  Triangular resection (P3) &amp; Posteriormedial comissuroplasty
  A3 plication
  Anteriorolateral comissuroplasty</t>
  </si>
  <si>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</si>
  <si>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</si>
  <si>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</si>
  <si>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</si>
  <si>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</si>
  <si>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</si>
  <si>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</si>
  <si>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</si>
  <si>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</si>
  <si>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김숙자</t>
  </si>
  <si>
    <t>1941-01-16</t>
  </si>
  <si>
    <t>Severe MR 
   with oscillating material (19*9mm) attached to PMV annulus
   R/O infective endocarditis
   (blood culture at present report = no growth)</t>
  </si>
  <si>
    <t>MVP with anterolateral commissural fusion
MAP with bovine pericardial strip</t>
  </si>
  <si>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</si>
  <si>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</si>
  <si>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</si>
  <si>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</si>
  <si>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</si>
  <si>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</si>
  <si>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</si>
  <si>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</si>
  <si>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</si>
  <si>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</si>
  <si>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</si>
  <si>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</si>
  <si>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</si>
  <si>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</si>
  <si>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</si>
  <si>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</si>
  <si>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</si>
  <si>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</si>
  <si>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</si>
  <si>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3" type="noConversion"/>
  </si>
  <si>
    <t>성윤경</t>
  </si>
  <si>
    <t>1960-11-05</t>
  </si>
  <si>
    <t>Infective endocarditis        
 -vegetatation on MV          
 -MS(moderate to severe)</t>
  </si>
  <si>
    <t>MVR with St. Jude M29mm</t>
  </si>
  <si>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</si>
  <si>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</si>
  <si>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</si>
  <si>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</si>
  <si>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</si>
  <si>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권영하</t>
  </si>
  <si>
    <t>1940-04-16</t>
  </si>
  <si>
    <t>Infective endocarditis with vegetation
MR (severe)</t>
  </si>
  <si>
    <t>MVR with 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</si>
  <si>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</si>
  <si>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</si>
  <si>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</si>
  <si>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</si>
  <si>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</si>
  <si>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</si>
  <si>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김숙연</t>
  </si>
  <si>
    <t>1954-06-18</t>
  </si>
  <si>
    <t>Infective endocarditis
Endopthalmitis
meningitis
DM, HTN</t>
  </si>
  <si>
    <t>MVR with On-X 25mm</t>
  </si>
  <si>
    <t>우정복</t>
  </si>
  <si>
    <t>1938-03-23</t>
  </si>
  <si>
    <t>Infective endocarditis, native mitral valve
severe MR</t>
  </si>
  <si>
    <t>MVR with C-E perimount M27mm</t>
  </si>
  <si>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</si>
  <si>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</si>
  <si>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</si>
  <si>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</si>
  <si>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</si>
  <si>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</si>
  <si>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</si>
  <si>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LA thrombectomy</t>
    <phoneticPr fontId="3" type="noConversion"/>
  </si>
  <si>
    <t>Redo MVR with St. Jude epic 31mm
TAP with Duran ring 31mm
LA thrombus removal
LAA closure</t>
  </si>
  <si>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</si>
  <si>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</si>
  <si>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</si>
  <si>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</si>
  <si>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</si>
  <si>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</si>
  <si>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</si>
  <si>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</si>
  <si>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</si>
  <si>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</si>
  <si>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</si>
  <si>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MVR with St. Jude medical 31mm
MV annular reconstruction with autologous pericardium
Ascending aorta and hemiarch replacement with one branched Gelweave graft 28mm</t>
    <phoneticPr fontId="3"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</si>
  <si>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</si>
  <si>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</si>
  <si>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</si>
  <si>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</si>
  <si>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</si>
  <si>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</si>
  <si>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</si>
  <si>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</si>
  <si>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</si>
  <si>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김평길</t>
  </si>
  <si>
    <t>Infective endocarditis, native valve
Vegation on Mitral valve      
MR(minimal)                   
Multiple brain embolic infarction</t>
  </si>
  <si>
    <t>Rt. frontal cerebral infarct with multiple lesion</t>
    <phoneticPr fontId="3" type="noConversion"/>
  </si>
  <si>
    <t>P2 vegatation removal
MVP : A2 artificial chordae formation</t>
  </si>
  <si>
    <t>김정희</t>
  </si>
  <si>
    <t>Infective endocarditis, severe MR
s/p cerebral aneurysm clipping (2010.08.11)</t>
  </si>
  <si>
    <t>MVR with St. Jude 31mm
Posterior mitral annulus reconstruction with fresh autologous pericardium</t>
  </si>
  <si>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</si>
  <si>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</si>
  <si>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</si>
  <si>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</si>
  <si>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김상훈</t>
  </si>
  <si>
    <t>Mitral regurgitation(predominant)
Mitral valve leaflet defect(A3) d/t  IE</t>
  </si>
  <si>
    <t>Patch closure of mitral valve leaflet defect wit GA fixed autulogus pericardium</t>
  </si>
  <si>
    <t>장준호</t>
  </si>
  <si>
    <t>infective endocarditis with severe MR
vegetation on MV &amp; AV</t>
  </si>
  <si>
    <t>MVR with On-X 27mm
AVP(penetrated RCC repair)</t>
  </si>
  <si>
    <t>(2010.8.2) 의료보험 자격상실</t>
    <phoneticPr fontId="3" type="noConversion"/>
  </si>
  <si>
    <t>오치영</t>
  </si>
  <si>
    <t>infective endocarditis c MR, severe</t>
  </si>
  <si>
    <t>Rt. MCA juxtacortical area infarctio</t>
    <phoneticPr fontId="3" type="noConversion"/>
  </si>
  <si>
    <t>commissuroplasty</t>
    <phoneticPr fontId="3" type="noConversion"/>
  </si>
  <si>
    <t>MVP with commissuroplasty, MAP with bovine pericardium strip</t>
  </si>
  <si>
    <t>Colon cancer</t>
    <phoneticPr fontId="3" type="noConversion"/>
  </si>
  <si>
    <t>박창근</t>
  </si>
  <si>
    <t>Infective endocarditis, native valve (MSSA)
MR(moderate)
AR(moderate)    
R/O Mitral annular involvement with endocarditis</t>
  </si>
  <si>
    <t>MVR with St. Jude Medical Epic 29mm
AVP (leaflet slicing &amp; commissural resuspension)</t>
  </si>
  <si>
    <t>최원석</t>
  </si>
  <si>
    <t>MR, moderate d/t infective endocarditis with vegetation</t>
  </si>
  <si>
    <t>Streptococcus viridans</t>
    <phoneticPr fontId="3" type="noConversion"/>
  </si>
  <si>
    <t>Pseudoaneurysm in SMA and left internal iliac artery - r/o mycotic aneurysm</t>
    <phoneticPr fontId="3" type="noConversion"/>
  </si>
  <si>
    <t>MVP with A3 reconstruction, MAP with Cosgrove 32mm(Bovine pericardium)</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</si>
  <si>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</si>
  <si>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</si>
  <si>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</si>
  <si>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</si>
  <si>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</si>
  <si>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</si>
  <si>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</si>
  <si>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</si>
  <si>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</si>
  <si>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</si>
  <si>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</si>
  <si>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MVR with St. Jude Medical 27mm
TAP with Duran ring 29mm</t>
  </si>
  <si>
    <t>김경식</t>
  </si>
  <si>
    <t>Infective endocarditis (native, mitral valve)
MR(severe)
ARF</t>
  </si>
  <si>
    <t>Abiotrophia defectiva</t>
    <phoneticPr fontId="3" type="noConversion"/>
  </si>
  <si>
    <t>MVP &amp; MAP:
 - posteromedial commissural fusion
 - artificial chordae implantation (X 2 pairs)
 - MAP with GA-fixed autologous pericardial strip</t>
  </si>
  <si>
    <t>김경남</t>
  </si>
  <si>
    <t>Subacute infective endocarditis(native mitral valve)</t>
  </si>
  <si>
    <t>MVR with St. Jude Medical 29mm</t>
  </si>
  <si>
    <t>황승휘</t>
  </si>
  <si>
    <t>1979-10-28</t>
  </si>
  <si>
    <t>Infective endocarditis(native mitral valve)</t>
  </si>
  <si>
    <t>MVP with ant. leaflet reconstruction with GA-fixed autologous pericardium and post. leaflet
               trianular resection 
MAP with bovine pericardium(partial)</t>
  </si>
  <si>
    <t>Infective endocarditis on native MV
MR(severe)</t>
  </si>
  <si>
    <t>MVR with St. Jude Medical 33mm
Mitral annular reconstruction with GA-fixed autologous pericardium</t>
  </si>
  <si>
    <t>김홍순</t>
  </si>
  <si>
    <t>1934-05-15</t>
  </si>
  <si>
    <t>MR(severe)
Infective endocarditis</t>
  </si>
  <si>
    <t>underlying VHD</t>
    <phoneticPr fontId="3" type="noConversion"/>
  </si>
  <si>
    <t>MAP(GA-fixed pericardial strip)
MVP(medial commissuroplasty)</t>
  </si>
  <si>
    <t>유희경</t>
  </si>
  <si>
    <t>1972-10-30</t>
  </si>
  <si>
    <t>Infective endocarditis(native MV)</t>
  </si>
  <si>
    <t>MVR with On-X valve 25mm
Mitral annular reconstruction with bovine pericardium</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</si>
  <si>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</si>
  <si>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</si>
  <si>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</si>
  <si>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</si>
  <si>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</si>
  <si>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</si>
  <si>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</si>
  <si>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</si>
  <si>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</si>
  <si>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최은숙</t>
  </si>
  <si>
    <t>1980-08-14</t>
  </si>
  <si>
    <t>Infective endocarditis
MR(severe)</t>
  </si>
  <si>
    <t xml:space="preserve"> MVP with commisural fusion
MAP with Wooler's method</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</si>
  <si>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</si>
  <si>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</si>
  <si>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</si>
  <si>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</si>
  <si>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</si>
  <si>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</si>
  <si>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</si>
  <si>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</si>
  <si>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</si>
  <si>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</si>
  <si>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허은미</t>
  </si>
  <si>
    <t>1976-05-22</t>
  </si>
  <si>
    <t>Infective endocarditis, native mitral valve
MR(severe)</t>
  </si>
  <si>
    <t>MVP with quadroangular resection</t>
  </si>
  <si>
    <t>지선홍</t>
  </si>
  <si>
    <t>1985-01-17</t>
  </si>
  <si>
    <t>Infective endocarditis
MR(severe)
TR(moderate)
Mental retardation</t>
  </si>
  <si>
    <t>MVR with St. Jude medical mechanical M33mm
TAP with Duran ring 29mm</t>
  </si>
  <si>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</si>
  <si>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</si>
  <si>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</si>
  <si>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</si>
  <si>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</si>
  <si>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</si>
  <si>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</si>
  <si>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</si>
  <si>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</si>
  <si>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</si>
  <si>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MVR with On-X 27/29mm
LAA obliteration</t>
  </si>
  <si>
    <t>심근병증</t>
    <phoneticPr fontId="3" type="noConversion"/>
  </si>
  <si>
    <t>박차근</t>
  </si>
  <si>
    <t>1970-02-28</t>
  </si>
  <si>
    <t>Infective endocarditis
MR(severe, posterior leaflet perforation)
s/p multiple cerebral infarction, spleen infarction (2008.07)</t>
    <phoneticPr fontId="3"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</si>
  <si>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</si>
  <si>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</si>
  <si>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</si>
  <si>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</si>
  <si>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</si>
  <si>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</si>
  <si>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</si>
  <si>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</si>
  <si>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</si>
  <si>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</si>
  <si>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</si>
  <si>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</si>
  <si>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</si>
  <si>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</si>
  <si>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</si>
  <si>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</si>
  <si>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</si>
  <si>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</si>
  <si>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</si>
  <si>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</si>
  <si>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</si>
  <si>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</si>
  <si>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AMR</t>
    <phoneticPr fontId="3" type="noConversion"/>
  </si>
  <si>
    <t>Bentall operation with Aortic homograft valved conduit 22mm
MVR with St. Jude 27mm
Mitral annular reconstruction with bovine pericardium
RA wall reconstruction with bovine pericardium
open sternum</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</si>
  <si>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</si>
  <si>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</si>
  <si>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</si>
  <si>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Lt. occipical lobe의 huge abscess</t>
    <phoneticPr fontId="3" type="noConversion"/>
  </si>
  <si>
    <t>MVP with bovine pericardium
MAP : Wooler technique(posteromedial commissure)</t>
  </si>
  <si>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</si>
  <si>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</si>
  <si>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</si>
  <si>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</si>
  <si>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</si>
  <si>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</si>
  <si>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</si>
  <si>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</si>
  <si>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</si>
  <si>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</si>
  <si>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</si>
  <si>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</si>
  <si>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</si>
  <si>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최윤정</t>
    <phoneticPr fontId="3" type="noConversion"/>
  </si>
  <si>
    <t>infective endocarditis
MR(moderate)</t>
  </si>
  <si>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</si>
  <si>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</si>
  <si>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</si>
  <si>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</si>
  <si>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</si>
  <si>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</si>
  <si>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</si>
  <si>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</si>
  <si>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MV repair
   quadrangular resection of P1
   mitral annular recostruction with bovine pericardium  
Vegetation removal</t>
    <phoneticPr fontId="3" type="noConversion"/>
  </si>
  <si>
    <t>Y</t>
  </si>
  <si>
    <t>전나미자</t>
  </si>
  <si>
    <t>Infective endocarditis on MV, severe MR with MV prolapse, mild TR, multiple embolic infact(kidney, liver, spleen)</t>
    <phoneticPr fontId="3" type="noConversion"/>
  </si>
  <si>
    <t>MVR with St. Jude epic valve 29mm
Mitral annulus reconstruction with bovine pericardium</t>
  </si>
  <si>
    <t>이재명</t>
  </si>
  <si>
    <t>Infective endocarditis on MV, severe MR
Acute nephrotic syndrome (HD; I-J cath)</t>
    <phoneticPr fontId="3" type="noConversion"/>
  </si>
  <si>
    <t>MVR with St Jude mitral 29mm</t>
  </si>
  <si>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</si>
  <si>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</si>
  <si>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</si>
  <si>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</si>
  <si>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Biocor</t>
    <phoneticPr fontId="3" type="noConversion"/>
  </si>
  <si>
    <t>MVR with St. Jude Biocor 25mm
Mitral annular reconstruction with bovine pericardium
TAP (Kay)</t>
  </si>
  <si>
    <t>부택동</t>
  </si>
  <si>
    <t>Vegetation removal
MV repair (quadrangular resection of PMVL)</t>
  </si>
  <si>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</si>
  <si>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</si>
  <si>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</si>
  <si>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</si>
  <si>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</si>
  <si>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</si>
  <si>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</si>
  <si>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</si>
  <si>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</si>
  <si>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MVR with On-X 27/29mm</t>
  </si>
  <si>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</si>
  <si>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</si>
  <si>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</si>
  <si>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</si>
  <si>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</si>
  <si>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</si>
  <si>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</si>
  <si>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</si>
  <si>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MVR with Biocor 27mm
Removal of vegetation</t>
  </si>
  <si>
    <t>문경환</t>
  </si>
  <si>
    <t>infective endocarditis with vegetation on MV, severe MR with MV prolapse, HTN</t>
    <phoneticPr fontId="3"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</si>
  <si>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</si>
  <si>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</si>
  <si>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</si>
  <si>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</si>
  <si>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</si>
  <si>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</si>
  <si>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aortomitral</t>
    <phoneticPr fontId="3" type="noConversion"/>
  </si>
  <si>
    <t>Bentall operation with Carboseal valved graft
   23mm, MVR with ON-X valve 25mm, Aortomitral 
   reconstruction with bovine pericardium</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</si>
  <si>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</si>
  <si>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</si>
  <si>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</si>
  <si>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</si>
  <si>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</si>
  <si>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</si>
  <si>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</si>
  <si>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</si>
  <si>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MVR with St.Jude Biocor 29mm, removal of vegetation in RA</t>
    <phoneticPr fontId="3"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</si>
  <si>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</si>
  <si>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</si>
  <si>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</si>
  <si>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</si>
  <si>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</si>
  <si>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</si>
  <si>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한영일</t>
  </si>
  <si>
    <t>Infective endocarditis with vegetation (mitral valve), severe MR, moderate TR, HTN, Atrial flutter, multiple cerebral infarct(Altered mentality)</t>
    <phoneticPr fontId="3" type="noConversion"/>
  </si>
  <si>
    <t>MVR with Biocor 29mm
TAP with St Jude Tailor ring 31mm</t>
  </si>
  <si>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</si>
  <si>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</si>
  <si>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</si>
  <si>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</si>
  <si>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</si>
  <si>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</si>
  <si>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</si>
  <si>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</si>
  <si>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</si>
  <si>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</si>
  <si>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</si>
  <si>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</si>
  <si>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</si>
  <si>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</si>
  <si>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</si>
  <si>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</si>
  <si>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</si>
  <si>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</si>
  <si>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</si>
  <si>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</si>
  <si>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</si>
  <si>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</si>
  <si>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</si>
  <si>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</si>
  <si>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</si>
  <si>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</si>
  <si>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</si>
  <si>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</si>
  <si>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</si>
  <si>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</si>
  <si>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</si>
  <si>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전계연</t>
  </si>
  <si>
    <t>MVP ( P2 quadriangular resection and primary repair,  A1 and P1 fusion)
MAP with Carpentier Edward annuloplasty ring 28mm</t>
  </si>
  <si>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</si>
  <si>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</si>
  <si>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</si>
  <si>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</si>
  <si>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</si>
  <si>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</si>
  <si>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</si>
  <si>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</si>
  <si>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</si>
  <si>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</si>
  <si>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</si>
  <si>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</si>
  <si>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</si>
  <si>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</si>
  <si>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</si>
  <si>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</si>
  <si>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</si>
  <si>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</si>
  <si>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</si>
  <si>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</si>
  <si>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</si>
  <si>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</si>
  <si>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</si>
  <si>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</si>
  <si>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</si>
  <si>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</si>
  <si>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C-E physioring 28mm</t>
    <phoneticPr fontId="3" type="noConversion"/>
  </si>
  <si>
    <t>quadrangular resection of P3 and primary repair</t>
    <phoneticPr fontId="3" type="noConversion"/>
  </si>
  <si>
    <t>MV repair[quadrangular resection of P3 &amp; primary repiar and C-E physio ring 28mm]</t>
  </si>
  <si>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</si>
  <si>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</si>
  <si>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</si>
  <si>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</si>
  <si>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</si>
  <si>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</si>
  <si>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백영방</t>
  </si>
  <si>
    <t>infective endocarditis, mod MR</t>
  </si>
  <si>
    <t>Streptococcus species</t>
    <phoneticPr fontId="3" type="noConversion"/>
  </si>
  <si>
    <t>Wooler method (anterolateral commissure)</t>
    <phoneticPr fontId="3" type="noConversion"/>
  </si>
  <si>
    <t>artificial chordae formation at A1, one pair</t>
    <phoneticPr fontId="3" type="noConversion"/>
  </si>
  <si>
    <t>MVP with artificial chordae formation at A1, one pair
MAP with Wooler method (anterolateral commissure)</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</si>
  <si>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</si>
  <si>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</si>
  <si>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</si>
  <si>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</si>
  <si>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</si>
  <si>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</si>
  <si>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Wooler method with GA-fixed pericardium</t>
    <phoneticPr fontId="3" type="noConversion"/>
  </si>
  <si>
    <t>MV repair(Wooler) with G-A fixed pericardium
Debridement of vegetation</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</si>
  <si>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</si>
  <si>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</si>
  <si>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</si>
  <si>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</si>
  <si>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MVR with ON-X valve 25mm, post mitral annulus reinforcement with bovine pericardium</t>
  </si>
  <si>
    <t>김영수</t>
  </si>
  <si>
    <t>infective endocarditis, MR</t>
  </si>
  <si>
    <t>Hemashield graft patch strip</t>
    <phoneticPr fontId="3" type="noConversion"/>
  </si>
  <si>
    <t>`- leaflet extension with bovine pericardium at A3
- posteromedial commissure fusion
- Chorda transfer (A2-&gt;A3)</t>
    <phoneticPr fontId="3" type="noConversion"/>
  </si>
  <si>
    <t>MVP with leaflet extension with bovine pericardium at A3, posteromedial commissure fusion, Chorda transfer (A2-&gt;A3)
Asymmetric MAP with Hemashield graft patch strip</t>
    <phoneticPr fontId="3" type="noConversion"/>
  </si>
  <si>
    <t>정현숙</t>
  </si>
  <si>
    <t>Infective endocarditis, severe MR, minimal TR</t>
    <phoneticPr fontId="3" type="noConversion"/>
  </si>
  <si>
    <t>partial sternotomy(T shape), MVR wit C-E periardiacl valve 27mm, annular reconstruction with bovine pericardium</t>
  </si>
  <si>
    <t>정미숙</t>
  </si>
  <si>
    <t>Infective endocarditis on MV, moderate MR, mild TR with moderate to severe pul. HTN, multiple peripheral embolism</t>
    <phoneticPr fontId="3"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</si>
  <si>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</si>
  <si>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</si>
  <si>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</si>
  <si>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</si>
  <si>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</si>
  <si>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</si>
  <si>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최숙자</t>
  </si>
  <si>
    <t>Infective endocarditis, moderate to severe MR s/p cerebral &amp; peripheral infarction</t>
    <phoneticPr fontId="3" type="noConversion"/>
  </si>
  <si>
    <t>MVR with St. Jude 27mm, annular reconstruction with autologous pericardium</t>
  </si>
  <si>
    <t>조려경</t>
  </si>
  <si>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</si>
  <si>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</si>
  <si>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</si>
  <si>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</si>
  <si>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ATS</t>
    <phoneticPr fontId="3" type="noConversion"/>
  </si>
  <si>
    <t>MVR with ATS 31mm, Maze III procedure</t>
  </si>
  <si>
    <t>유준열</t>
  </si>
  <si>
    <t>Infective endocarditis, mod MR, myocardial abscess. S/p BMT d/t ALL(01.4)</t>
  </si>
  <si>
    <t>ALL</t>
    <phoneticPr fontId="3" type="noConversion"/>
  </si>
  <si>
    <t>`-  A3 &amp; P3 chordae &amp; posteromedial papillary muscle partial resection
- repair with GA-fixed autologous pericardium</t>
    <phoneticPr fontId="3" type="noConversion"/>
  </si>
  <si>
    <t>MVP with A3 &amp; P3 chordae &amp; posteromedial papillary muscle partial resection and repair with GA-fixed autologous pericardium
Myocardial abscess excision</t>
    <phoneticPr fontId="3"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</si>
  <si>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</si>
  <si>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</si>
  <si>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</si>
  <si>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</si>
  <si>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</si>
  <si>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</si>
  <si>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</si>
  <si>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</si>
  <si>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</si>
  <si>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</si>
  <si>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</si>
  <si>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</si>
  <si>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</si>
  <si>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</si>
  <si>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</si>
  <si>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</si>
  <si>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</si>
  <si>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</si>
  <si>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MVR with C-E perimount 27mm, TV repair(DeVega)</t>
  </si>
  <si>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</si>
  <si>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</si>
  <si>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</si>
  <si>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</si>
  <si>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</si>
  <si>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</si>
  <si>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</si>
  <si>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</si>
  <si>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</si>
  <si>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</si>
  <si>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</si>
  <si>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</si>
  <si>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</si>
  <si>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</si>
  <si>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</si>
  <si>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</si>
  <si>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</si>
  <si>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</si>
  <si>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</si>
  <si>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</si>
  <si>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</si>
  <si>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</si>
  <si>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</si>
  <si>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</si>
  <si>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</si>
  <si>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</si>
  <si>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</si>
  <si>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</si>
  <si>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신현선</t>
  </si>
  <si>
    <t>Infective endocarditis, severe MR</t>
    <phoneticPr fontId="3"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</si>
  <si>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</si>
  <si>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</si>
  <si>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</si>
  <si>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MVR with ATS 27mm, PFO primary closure, posterior mitral annulus &amp; LA posterior wall partial resection and reinforcement with Bovine pericardium</t>
    <phoneticPr fontId="3"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</si>
  <si>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</si>
  <si>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</si>
  <si>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</si>
  <si>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</si>
  <si>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</si>
  <si>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김창규</t>
  </si>
  <si>
    <t>Infective Endocarditis, severe MR, mild TR, residual PDA s/p PDA ligation ('74)</t>
    <phoneticPr fontId="3" type="noConversion"/>
  </si>
  <si>
    <t>MVR with ATS 29mm, PDA Division, PDA Internal Closure, Repair of Aorta End of PDA with Bovine Pericardium</t>
  </si>
  <si>
    <t>정계훈</t>
  </si>
  <si>
    <t>Infective Endocarditis, severe MR</t>
    <phoneticPr fontId="3" type="noConversion"/>
  </si>
  <si>
    <t>MVR with ATS 27mm</t>
  </si>
  <si>
    <t>유은목</t>
  </si>
  <si>
    <t>Infective endocarditis with vegetation on MV, moderate to severe MR</t>
    <phoneticPr fontId="3" type="noConversion"/>
  </si>
  <si>
    <t>이효준</t>
  </si>
  <si>
    <t>Infective Endocarditis, severe MR</t>
  </si>
  <si>
    <t>MV Repair(Duran Ring 27mm, Wedge Resection &amp; Repair of Prolapsed A3 Portion)</t>
  </si>
  <si>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</si>
  <si>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</si>
  <si>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</si>
  <si>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</si>
  <si>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</si>
  <si>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</si>
  <si>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</si>
  <si>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</si>
  <si>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</si>
  <si>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</si>
  <si>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</si>
  <si>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</si>
  <si>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</si>
  <si>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</si>
  <si>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</si>
  <si>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</si>
  <si>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</si>
  <si>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</si>
  <si>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</si>
  <si>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</si>
  <si>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</si>
  <si>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</si>
  <si>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</si>
  <si>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</si>
  <si>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</si>
  <si>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</si>
  <si>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</si>
  <si>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</si>
  <si>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</si>
  <si>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</si>
  <si>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</si>
  <si>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</si>
  <si>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</si>
  <si>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</si>
  <si>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</si>
  <si>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</si>
  <si>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</si>
  <si>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</si>
  <si>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</si>
  <si>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</si>
  <si>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</si>
  <si>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수술시작시간</t>
  </si>
  <si>
    <t>fatigue</t>
    <phoneticPr fontId="2" type="noConversion"/>
  </si>
  <si>
    <t>orthopnea</t>
    <phoneticPr fontId="2" type="noConversion"/>
  </si>
  <si>
    <t>GW</t>
    <phoneticPr fontId="2" type="noConversion"/>
  </si>
  <si>
    <t>fever</t>
    <phoneticPr fontId="2" type="noConversion"/>
  </si>
  <si>
    <t>chills</t>
    <phoneticPr fontId="2" type="noConversion"/>
  </si>
  <si>
    <t>dyspnea</t>
    <phoneticPr fontId="2" type="noConversion"/>
  </si>
  <si>
    <t>CPB</t>
    <phoneticPr fontId="2" type="noConversion"/>
  </si>
  <si>
    <t>TCA_time</t>
    <phoneticPr fontId="3" type="noConversion"/>
  </si>
  <si>
    <t>BMI</t>
    <phoneticPr fontId="2" type="noConversion"/>
  </si>
  <si>
    <t>Anti</t>
    <phoneticPr fontId="2" type="noConversion"/>
  </si>
  <si>
    <t>regimen</t>
    <phoneticPr fontId="2" type="noConversion"/>
  </si>
  <si>
    <t>Streptococcus mitis/Streptococcus oralis.</t>
    <phoneticPr fontId="2" type="noConversion"/>
  </si>
  <si>
    <t>Ceftriaxone+amp/sul</t>
    <phoneticPr fontId="2" type="noConversion"/>
  </si>
  <si>
    <t>moderate</t>
    <phoneticPr fontId="3" type="noConversion"/>
  </si>
  <si>
    <t>Mitral</t>
    <phoneticPr fontId="3" type="noConversion"/>
  </si>
  <si>
    <t>MAP_with_</t>
    <phoneticPr fontId="3" type="noConversion"/>
  </si>
  <si>
    <t>vegetaion removal only</t>
    <phoneticPr fontId="3" type="noConversion"/>
  </si>
  <si>
    <t>MVR_with_</t>
    <phoneticPr fontId="3" type="noConversion"/>
  </si>
  <si>
    <t>Leaflet resection or slicing</t>
    <phoneticPr fontId="3" type="noConversion"/>
  </si>
  <si>
    <t>plication</t>
    <phoneticPr fontId="3" type="noConversion"/>
  </si>
  <si>
    <t>chordae/papillary muscle procedure</t>
    <phoneticPr fontId="3" type="noConversion"/>
  </si>
  <si>
    <t>patch repair</t>
    <phoneticPr fontId="3" type="noConversion"/>
  </si>
  <si>
    <t>ON-X conform-X 25/33mm</t>
    <phoneticPr fontId="3" type="noConversion"/>
  </si>
  <si>
    <t>prev_MV_Op</t>
    <phoneticPr fontId="2" type="noConversion"/>
  </si>
  <si>
    <t>Prev_AV_Op</t>
    <phoneticPr fontId="2" type="noConversion"/>
  </si>
  <si>
    <t>Concomittant_AV_Op</t>
    <phoneticPr fontId="3" type="noConversion"/>
  </si>
  <si>
    <t>Prev_TV_Op</t>
    <phoneticPr fontId="3" type="noConversion"/>
  </si>
  <si>
    <t>Concomittant_TV_Op</t>
    <phoneticPr fontId="3" type="noConversion"/>
  </si>
  <si>
    <t>Op_name</t>
    <phoneticPr fontId="3" type="noConversion"/>
  </si>
  <si>
    <t>TAP with St.Jude Tailor ring 31mm</t>
    <phoneticPr fontId="2" type="noConversion"/>
  </si>
  <si>
    <t>moderate</t>
    <phoneticPr fontId="2" type="noConversion"/>
  </si>
  <si>
    <t>기준일</t>
    <phoneticPr fontId="2" type="noConversion"/>
  </si>
  <si>
    <t>4주</t>
    <phoneticPr fontId="2" type="noConversion"/>
  </si>
  <si>
    <t>6주</t>
    <phoneticPr fontId="2" type="noConversion"/>
  </si>
  <si>
    <t>Info</t>
    <phoneticPr fontId="2" type="noConversion"/>
  </si>
  <si>
    <t>Exlusion_비고</t>
    <phoneticPr fontId="2" type="noConversion"/>
  </si>
  <si>
    <t>PVE</t>
    <phoneticPr fontId="2" type="noConversion"/>
  </si>
  <si>
    <t>Ceftriaxone+vanco+genta</t>
    <phoneticPr fontId="2" type="noConversion"/>
  </si>
  <si>
    <t>MRSA</t>
    <phoneticPr fontId="2" type="noConversion"/>
  </si>
  <si>
    <t>brain</t>
    <phoneticPr fontId="2" type="noConversion"/>
  </si>
  <si>
    <t>C-E Perimount magna valve 27mm</t>
    <phoneticPr fontId="2" type="noConversion"/>
  </si>
  <si>
    <t>투여날짜</t>
    <phoneticPr fontId="2" type="noConversion"/>
  </si>
  <si>
    <t>Ceftriaxtone+Vanco</t>
    <phoneticPr fontId="2" type="noConversion"/>
  </si>
  <si>
    <t>mild-to-moderate</t>
    <phoneticPr fontId="2" type="noConversion"/>
  </si>
  <si>
    <t>Cosgrove-Edwards ring 32 mm</t>
    <phoneticPr fontId="2" type="noConversion"/>
  </si>
  <si>
    <t>MVP_with_</t>
    <phoneticPr fontId="3" type="noConversion"/>
  </si>
  <si>
    <t>P3 triangular resection</t>
    <phoneticPr fontId="2" type="noConversion"/>
  </si>
  <si>
    <t>Cx. Of IE</t>
    <phoneticPr fontId="2" type="noConversion"/>
  </si>
  <si>
    <t>Nafcillin</t>
    <phoneticPr fontId="2" type="noConversion"/>
  </si>
  <si>
    <t>Lt calf &amp; Lt Hip</t>
    <phoneticPr fontId="2" type="noConversion"/>
  </si>
  <si>
    <t>SJM 29mm</t>
    <phoneticPr fontId="2" type="noConversion"/>
  </si>
  <si>
    <t>Ampicillin</t>
    <phoneticPr fontId="2" type="noConversion"/>
  </si>
  <si>
    <t>severe</t>
    <phoneticPr fontId="2" type="noConversion"/>
  </si>
  <si>
    <t>균주_date</t>
    <phoneticPr fontId="3" type="noConversion"/>
  </si>
  <si>
    <t>PDA
    mild MR and TR with moderate PH</t>
    <phoneticPr fontId="2" type="noConversion"/>
  </si>
  <si>
    <t>Amp/sul+ Gentamicin</t>
    <phoneticPr fontId="2" type="noConversion"/>
  </si>
  <si>
    <t>mild</t>
    <phoneticPr fontId="2" type="noConversion"/>
  </si>
  <si>
    <t>TAP with De Vega method</t>
    <phoneticPr fontId="2" type="noConversion"/>
  </si>
  <si>
    <t>AVP with leaflet slicing and commissuroplasty (NCC/LCC, LCC/RCC)</t>
    <phoneticPr fontId="2" type="noConversion"/>
  </si>
  <si>
    <t>PVP with leaflet slicing and commissuroplasty 
PDA primary closure (MPA inner wall)</t>
    <phoneticPr fontId="3" type="noConversion"/>
  </si>
  <si>
    <t>Op_name</t>
    <phoneticPr fontId="2" type="noConversion"/>
  </si>
  <si>
    <t>other_procedure</t>
    <phoneticPr fontId="3" type="noConversion"/>
  </si>
  <si>
    <t>Ceftriaxone+vanco</t>
    <phoneticPr fontId="2" type="noConversion"/>
  </si>
  <si>
    <t>moderate</t>
    <phoneticPr fontId="2" type="noConversion"/>
  </si>
  <si>
    <t>Outcomes</t>
    <phoneticPr fontId="2" type="noConversion"/>
  </si>
  <si>
    <t>last_FU_date</t>
    <phoneticPr fontId="2" type="noConversion"/>
  </si>
  <si>
    <t>Streptococcus sanguinis</t>
    <phoneticPr fontId="2" type="noConversion"/>
  </si>
  <si>
    <t>Brain</t>
    <phoneticPr fontId="2" type="noConversion"/>
  </si>
  <si>
    <t>Ceftriaxone + Vanco</t>
    <phoneticPr fontId="2" type="noConversion"/>
  </si>
  <si>
    <t>C-E PERIMOUNT Magna ease 27mm</t>
    <phoneticPr fontId="2" type="noConversion"/>
  </si>
  <si>
    <t>2주</t>
    <phoneticPr fontId="2" type="noConversion"/>
  </si>
  <si>
    <t>candida albicans</t>
    <phoneticPr fontId="2" type="noConversion"/>
  </si>
  <si>
    <t>fluconazole</t>
    <phoneticPr fontId="2" type="noConversion"/>
  </si>
  <si>
    <t>Lt.deep thigh vessels, Rt.femoral vessels, Rt.posterior tibial vessels</t>
    <phoneticPr fontId="2" type="noConversion"/>
  </si>
  <si>
    <t>Ceftriaxone + Vancomycin</t>
    <phoneticPr fontId="2" type="noConversion"/>
  </si>
  <si>
    <t>MSSA</t>
    <phoneticPr fontId="2" type="noConversion"/>
  </si>
  <si>
    <t>spleen, kidney, liver, brain</t>
    <phoneticPr fontId="2" type="noConversion"/>
  </si>
  <si>
    <t>C-E perimount magna valve 29mm</t>
  </si>
  <si>
    <t>no acute IE</t>
    <phoneticPr fontId="2" type="noConversion"/>
  </si>
  <si>
    <t>Ampicillin + Ceftriaxone</t>
    <phoneticPr fontId="2" type="noConversion"/>
  </si>
  <si>
    <t>Enterococcus faecalis</t>
    <phoneticPr fontId="2" type="noConversion"/>
  </si>
  <si>
    <t>C-E Perimount Magna 27mm</t>
    <phoneticPr fontId="2" type="noConversion"/>
  </si>
  <si>
    <t>Vanco</t>
    <phoneticPr fontId="2" type="noConversion"/>
  </si>
  <si>
    <t>mild-to-moderate</t>
    <phoneticPr fontId="2" type="noConversion"/>
  </si>
  <si>
    <t>`- Wide debridement of A3, P3
- Infected secondary chordae resection
- Posterolateral commissuroplasty</t>
    <phoneticPr fontId="2" type="noConversion"/>
  </si>
  <si>
    <t>Ceftriaxone</t>
    <phoneticPr fontId="2" type="noConversion"/>
  </si>
  <si>
    <t>moderate-to-severe</t>
    <phoneticPr fontId="2" type="noConversion"/>
  </si>
  <si>
    <t>anterolateral commissuroplasty 
P1, P2 cleft plication</t>
    <phoneticPr fontId="2" type="noConversion"/>
  </si>
  <si>
    <t>Ceftriaxone + vancomycin</t>
    <phoneticPr fontId="2" type="noConversion"/>
  </si>
  <si>
    <t>MSSA</t>
    <phoneticPr fontId="2" type="noConversion"/>
  </si>
  <si>
    <t>C-E PERIMOUNT Magna ease 25mm</t>
    <phoneticPr fontId="2" type="noConversion"/>
  </si>
  <si>
    <t>mild</t>
    <phoneticPr fontId="2" type="noConversion"/>
  </si>
  <si>
    <t>TAP with Tailor ring 31mm</t>
    <phoneticPr fontId="2" type="noConversion"/>
  </si>
  <si>
    <t>C-E Perimount maga ease 29mm</t>
    <phoneticPr fontId="2" type="noConversion"/>
  </si>
  <si>
    <t>Ampicillin</t>
    <phoneticPr fontId="2" type="noConversion"/>
  </si>
  <si>
    <t>Cosgrove Edwards annuloplasty ring 26mm</t>
    <phoneticPr fontId="2" type="noConversion"/>
  </si>
  <si>
    <t>triangular resection (A2)</t>
    <phoneticPr fontId="2" type="noConversion"/>
  </si>
  <si>
    <t>PFO primary closure</t>
  </si>
  <si>
    <t>S.sanguinis</t>
    <phoneticPr fontId="2" type="noConversion"/>
  </si>
  <si>
    <t>severe</t>
    <phoneticPr fontId="2" type="noConversion"/>
  </si>
  <si>
    <t>C-E PERIMOUNT Magna ease 27mm</t>
    <phoneticPr fontId="2" type="noConversion"/>
  </si>
  <si>
    <t>Ampicillin/sulbactam</t>
    <phoneticPr fontId="2" type="noConversion"/>
  </si>
  <si>
    <t>Enterococcus faecalis</t>
  </si>
  <si>
    <t>C-E PERIMOUNT Magna ease 29mm</t>
    <phoneticPr fontId="2" type="noConversion"/>
  </si>
  <si>
    <t>Ceftriaxone + Vanco</t>
    <phoneticPr fontId="2" type="noConversion"/>
  </si>
  <si>
    <t>Cosgrove-Edwards ring 32mm</t>
    <phoneticPr fontId="2" type="noConversion"/>
  </si>
  <si>
    <t>`- A2 artificial chordae implantation
- A3P3 obliteration with autologous pericardial patch</t>
    <phoneticPr fontId="2" type="noConversion"/>
  </si>
  <si>
    <t>Healed IE</t>
    <phoneticPr fontId="2" type="noConversion"/>
  </si>
  <si>
    <t>Campylobacter</t>
    <phoneticPr fontId="2" type="noConversion"/>
  </si>
  <si>
    <t>multiple scattered brain infarction</t>
    <phoneticPr fontId="2" type="noConversion"/>
  </si>
  <si>
    <t>moderate</t>
    <phoneticPr fontId="2" type="noConversion"/>
  </si>
  <si>
    <t>SJM 29mm</t>
    <phoneticPr fontId="2" type="noConversion"/>
  </si>
  <si>
    <t>MRSA</t>
    <phoneticPr fontId="2" type="noConversion"/>
  </si>
  <si>
    <t>Brain</t>
    <phoneticPr fontId="2" type="noConversion"/>
  </si>
  <si>
    <t>Hancock valve 27mm</t>
    <phoneticPr fontId="2" type="noConversion"/>
  </si>
  <si>
    <t>Ampicillin + Gentamycin</t>
    <phoneticPr fontId="2" type="noConversion"/>
  </si>
  <si>
    <t>Granulicatella adiacens; nutritionally variant streptococcus</t>
    <phoneticPr fontId="2" type="noConversion"/>
  </si>
  <si>
    <t>severe</t>
    <phoneticPr fontId="2" type="noConversion"/>
  </si>
  <si>
    <t>On-X comform-X mitral 25/33mm</t>
    <phoneticPr fontId="2" type="noConversion"/>
  </si>
  <si>
    <t>Rhizomucor pusillus</t>
    <phoneticPr fontId="2" type="noConversion"/>
  </si>
  <si>
    <t>APL (PML-RARA (+))
   s/p IA induction (18.09.08) -&gt; CR
   s/p Consolidation #1 (18.11.18)</t>
    <phoneticPr fontId="2" type="noConversion"/>
  </si>
  <si>
    <t>Carpentier-Edwards PERIMOUNT Magna Ease 27mm</t>
    <phoneticPr fontId="2" type="noConversion"/>
  </si>
  <si>
    <t>Progression of underlyint disease</t>
    <phoneticPr fontId="2" type="noConversion"/>
  </si>
  <si>
    <t>Ceftriaxone + Gentamycin + Vancomycin</t>
    <phoneticPr fontId="2" type="noConversion"/>
  </si>
  <si>
    <t>mild</t>
    <phoneticPr fontId="2" type="noConversion"/>
  </si>
  <si>
    <t>Cosgrove ring 38mm</t>
    <phoneticPr fontId="2" type="noConversion"/>
  </si>
  <si>
    <t>Posterior mitral leaflet reconstruction with fresh autologous pericardium</t>
    <phoneticPr fontId="2" type="noConversion"/>
  </si>
  <si>
    <t>moderate</t>
    <phoneticPr fontId="2" type="noConversion"/>
  </si>
  <si>
    <t>folded bovine pericardial strip</t>
    <phoneticPr fontId="2" type="noConversion"/>
  </si>
  <si>
    <t>bliteration of PM commissure using GA-fixed autologous pericardium</t>
    <phoneticPr fontId="2" type="noConversion"/>
  </si>
  <si>
    <t>Ceftriaxone + Vancomycin</t>
    <phoneticPr fontId="2" type="noConversion"/>
  </si>
  <si>
    <t>severe</t>
    <phoneticPr fontId="2" type="noConversion"/>
  </si>
  <si>
    <t>C-E annuloplasty ring 32mm</t>
    <phoneticPr fontId="2" type="noConversion"/>
  </si>
  <si>
    <t>`- autologous pericardium (perforation closure) 
 - A2, A3 plication</t>
    <phoneticPr fontId="2" type="noConversion"/>
  </si>
  <si>
    <t>ss/p s/p PFO closure with 25 mm Cocoon PFO device (17.11.2)</t>
    <phoneticPr fontId="2" type="noConversion"/>
  </si>
  <si>
    <t>Ampicillin + Nafcillin + Gentamycin</t>
    <phoneticPr fontId="2" type="noConversion"/>
  </si>
  <si>
    <t>(NG)</t>
    <phoneticPr fontId="2" type="noConversion"/>
  </si>
  <si>
    <t>ON-X conform-X 25/33mm</t>
    <phoneticPr fontId="2" type="noConversion"/>
  </si>
  <si>
    <t>NBTE</t>
    <phoneticPr fontId="2" type="noConversion"/>
  </si>
  <si>
    <t>?</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</si>
  <si>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</si>
  <si>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</si>
  <si>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</si>
  <si>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</si>
  <si>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ON-X conform-X 25/33mm</t>
    <phoneticPr fontId="2" type="noConversion"/>
  </si>
  <si>
    <t>severe</t>
    <phoneticPr fontId="2" type="noConversion"/>
  </si>
  <si>
    <t>PVE</t>
    <phoneticPr fontId="2" type="noConversion"/>
  </si>
  <si>
    <t>Ceftriaxone + Gentamicin</t>
    <phoneticPr fontId="2" type="noConversion"/>
  </si>
  <si>
    <t>Cosgrove Edwards annuloplasty ring 32mm</t>
    <phoneticPr fontId="2" type="noConversion"/>
  </si>
  <si>
    <t>triangular resection (P2)</t>
    <phoneticPr fontId="2" type="noConversion"/>
  </si>
  <si>
    <t>?</t>
    <phoneticPr fontId="2" type="noConversion"/>
  </si>
  <si>
    <t>NBTE</t>
    <phoneticPr fontId="2" type="noConversion"/>
  </si>
  <si>
    <t>Ceftriaxone + Vancomycin</t>
    <phoneticPr fontId="2" type="noConversion"/>
  </si>
  <si>
    <t>Staphylococcus haemolyticus</t>
    <phoneticPr fontId="2" type="noConversion"/>
  </si>
  <si>
    <t>Brain</t>
    <phoneticPr fontId="2" type="noConversion"/>
  </si>
  <si>
    <t>CE Perimount MAGNA EASE 31 mm</t>
    <phoneticPr fontId="2" type="noConversion"/>
  </si>
  <si>
    <t>Ampicillin + Gentamicin</t>
    <phoneticPr fontId="2" type="noConversion"/>
  </si>
  <si>
    <t>P2, P3 plication</t>
    <phoneticPr fontId="2" type="noConversion"/>
  </si>
  <si>
    <t>no acute or active</t>
    <phoneticPr fontId="2" type="noConversion"/>
  </si>
  <si>
    <t>Vancomycin</t>
    <phoneticPr fontId="2" type="noConversion"/>
  </si>
  <si>
    <t>MRSA</t>
    <phoneticPr fontId="2" type="noConversion"/>
  </si>
  <si>
    <t>C-E PERIMOUNT Magna ease 25mm</t>
    <phoneticPr fontId="2" type="noConversion"/>
  </si>
  <si>
    <t>ceftriaxone</t>
    <phoneticPr fontId="2" type="noConversion"/>
  </si>
  <si>
    <t>streptococcus sangios</t>
  </si>
  <si>
    <t>brain, brachial artery</t>
    <phoneticPr fontId="2" type="noConversion"/>
  </si>
  <si>
    <t>On-X 25mm</t>
  </si>
  <si>
    <t>Epilepsy</t>
    <phoneticPr fontId="2" type="noConversion"/>
  </si>
  <si>
    <t>Cardiobacterium hominis</t>
    <phoneticPr fontId="2" type="noConversion"/>
  </si>
  <si>
    <t>Ceftriaxone</t>
    <phoneticPr fontId="2" type="noConversion"/>
  </si>
  <si>
    <t>brain</t>
    <phoneticPr fontId="2" type="noConversion"/>
  </si>
  <si>
    <t>SJM 33mm</t>
    <phoneticPr fontId="2" type="noConversion"/>
  </si>
  <si>
    <t>Cosgrove-Edward annuloplasty ring 30mm</t>
    <phoneticPr fontId="2" type="noConversion"/>
  </si>
  <si>
    <t>posteromedial commissuroplasty</t>
    <phoneticPr fontId="2" type="noConversion"/>
  </si>
  <si>
    <t>ampicillin+gentamicin+nafcillin</t>
    <phoneticPr fontId="2" type="noConversion"/>
  </si>
  <si>
    <t>On-X conform-X 25/33mm</t>
    <phoneticPr fontId="2" type="noConversion"/>
  </si>
  <si>
    <t>PFO primary closure</t>
    <phoneticPr fontId="2" type="noConversion"/>
  </si>
  <si>
    <t>S. saguinius(all S), B. cereus (7/22)</t>
    <phoneticPr fontId="2" type="noConversion"/>
  </si>
  <si>
    <t>nafcillin + vancomycin</t>
    <phoneticPr fontId="2" type="noConversion"/>
  </si>
  <si>
    <t>mild</t>
    <phoneticPr fontId="2" type="noConversion"/>
  </si>
  <si>
    <t>C-E cosgrove ring 30mm</t>
    <phoneticPr fontId="2" type="noConversion"/>
  </si>
  <si>
    <t>Cosgrove-Edwards annuloplasty ring 32mm</t>
    <phoneticPr fontId="2" type="noConversion"/>
  </si>
  <si>
    <t>P2 triangular resection, P3 plication</t>
    <phoneticPr fontId="2" type="noConversion"/>
  </si>
  <si>
    <t>Streptococcus parasanguinis</t>
    <phoneticPr fontId="2" type="noConversion"/>
  </si>
  <si>
    <t>ampicillin/sulbactam + vancomycin</t>
    <phoneticPr fontId="2" type="noConversion"/>
  </si>
  <si>
    <t>moderate</t>
    <phoneticPr fontId="2" type="noConversion"/>
  </si>
  <si>
    <t>On-X 27/29mm</t>
    <phoneticPr fontId="2" type="noConversion"/>
  </si>
  <si>
    <t>Candida tropicalis</t>
    <phoneticPr fontId="2" type="noConversion"/>
  </si>
  <si>
    <t>ambisome</t>
    <phoneticPr fontId="2" type="noConversion"/>
  </si>
  <si>
    <t xml:space="preserve">CE perimount EASE 25 mm </t>
  </si>
  <si>
    <t>aortic valve vegetation removal</t>
    <phoneticPr fontId="2" type="noConversion"/>
  </si>
  <si>
    <t>Nafcillin</t>
    <phoneticPr fontId="2" type="noConversion"/>
  </si>
  <si>
    <t>MSSA</t>
    <phoneticPr fontId="2" type="noConversion"/>
  </si>
  <si>
    <t>SJM 29 mm</t>
  </si>
  <si>
    <t>ampicillin/sulbactam + ceftriaxone</t>
    <phoneticPr fontId="2" type="noConversion"/>
  </si>
  <si>
    <t>ON-X mitral valve 25/33mm</t>
    <phoneticPr fontId="2" type="noConversion"/>
  </si>
  <si>
    <t>Aortic valve mass excision</t>
  </si>
  <si>
    <t>TAP with St. Jude Tailor annuloplasty ring 29mm</t>
    <phoneticPr fontId="2" type="noConversion"/>
  </si>
  <si>
    <t>Ceftriaxone + vanco</t>
    <phoneticPr fontId="2" type="noConversion"/>
  </si>
  <si>
    <t>E. coli</t>
    <phoneticPr fontId="2" type="noConversion"/>
  </si>
  <si>
    <t>brain</t>
    <phoneticPr fontId="2" type="noConversion"/>
  </si>
  <si>
    <t>mild</t>
    <phoneticPr fontId="2" type="noConversion"/>
  </si>
  <si>
    <t>ON-X 25/33mm</t>
    <phoneticPr fontId="2" type="noConversion"/>
  </si>
  <si>
    <t>Ceftriaxone + Ampicillin</t>
    <phoneticPr fontId="2" type="noConversion"/>
  </si>
  <si>
    <t>moderate</t>
    <phoneticPr fontId="2" type="noConversion"/>
  </si>
  <si>
    <t>multiple annular plication suture</t>
    <phoneticPr fontId="2" type="noConversion"/>
  </si>
  <si>
    <t>`- posteromedial commissural fusion 
- perforation reconstruction with autologous pericardial patch (A3)</t>
    <phoneticPr fontId="2" type="noConversion"/>
  </si>
  <si>
    <t>Ceftriaxone + Nafcillin</t>
    <phoneticPr fontId="2" type="noConversion"/>
  </si>
  <si>
    <t>Haemophilus parainfluenzae</t>
    <phoneticPr fontId="2" type="noConversion"/>
  </si>
  <si>
    <t>Brain</t>
    <phoneticPr fontId="2" type="noConversion"/>
  </si>
  <si>
    <t>severe</t>
    <phoneticPr fontId="2" type="noConversion"/>
  </si>
  <si>
    <t>On-X 25/33mm</t>
    <phoneticPr fontId="2" type="noConversion"/>
  </si>
  <si>
    <t>Ampicillin + Nafcillin + vancomycin</t>
    <phoneticPr fontId="2" type="noConversion"/>
  </si>
  <si>
    <t>MSSA</t>
    <phoneticPr fontId="2" type="noConversion"/>
  </si>
  <si>
    <t>Carpentier Edward Perimount Ease 27mm</t>
  </si>
  <si>
    <t>Ampicillin + Gentamicin</t>
    <phoneticPr fontId="2" type="noConversion"/>
  </si>
  <si>
    <t>Streptococcus sanguinis</t>
    <phoneticPr fontId="2" type="noConversion"/>
  </si>
  <si>
    <t>25/33 mm</t>
  </si>
  <si>
    <t>ampicillin + Nafcillin</t>
    <phoneticPr fontId="2" type="noConversion"/>
  </si>
  <si>
    <t>Streptococcus sanguinis</t>
    <phoneticPr fontId="2" type="noConversion"/>
  </si>
  <si>
    <t>Brain</t>
    <phoneticPr fontId="2" type="noConversion"/>
  </si>
  <si>
    <t>severe</t>
    <phoneticPr fontId="2" type="noConversion"/>
  </si>
  <si>
    <t>SJM 25 mm</t>
  </si>
  <si>
    <t>Vancomycin + Meropenem</t>
    <phoneticPr fontId="2" type="noConversion"/>
  </si>
  <si>
    <t>IE less likely</t>
    <phoneticPr fontId="2" type="noConversion"/>
  </si>
  <si>
    <t>PVE</t>
    <phoneticPr fontId="2" type="noConversion"/>
  </si>
  <si>
    <t>Cosgrove-Edwards annuloplasty ring 30mm</t>
    <phoneticPr fontId="2" type="noConversion"/>
  </si>
  <si>
    <t>P2, P3 triangular resection</t>
    <phoneticPr fontId="2" type="noConversion"/>
  </si>
  <si>
    <t>s/p KT</t>
    <phoneticPr fontId="2" type="noConversion"/>
  </si>
  <si>
    <t>Enterococcus faecalis</t>
    <phoneticPr fontId="2" type="noConversion"/>
  </si>
  <si>
    <t>severe</t>
    <phoneticPr fontId="2" type="noConversion"/>
  </si>
  <si>
    <t>On-X 23mm</t>
    <phoneticPr fontId="2" type="noConversion"/>
  </si>
  <si>
    <t>C-E Perimount magna 29mm</t>
  </si>
  <si>
    <t>s/p Lt. partial meniscectomy</t>
    <phoneticPr fontId="2" type="noConversion"/>
  </si>
  <si>
    <t>Meropenem</t>
    <phoneticPr fontId="2" type="noConversion"/>
  </si>
  <si>
    <t>mild</t>
    <phoneticPr fontId="2" type="noConversion"/>
  </si>
  <si>
    <t>Kay-Wooler annuloplasty (posterior commissure)</t>
    <phoneticPr fontId="2" type="noConversion"/>
  </si>
  <si>
    <t>bovine pericardium (posterior leaflet extension)</t>
    <phoneticPr fontId="2" type="noConversion"/>
  </si>
  <si>
    <t>Vancomycin</t>
    <phoneticPr fontId="2" type="noConversion"/>
  </si>
  <si>
    <t>On-X 25~33 mm</t>
    <phoneticPr fontId="2" type="noConversion"/>
  </si>
  <si>
    <t>AV vegetation removal</t>
  </si>
  <si>
    <t>TV thrombus removal</t>
    <phoneticPr fontId="2" type="noConversion"/>
  </si>
  <si>
    <t>amipicillin + Ceftriaxone + Gentamicin</t>
    <phoneticPr fontId="2" type="noConversion"/>
  </si>
  <si>
    <t>E.faecalis</t>
  </si>
  <si>
    <t>Brain</t>
    <phoneticPr fontId="2" type="noConversion"/>
  </si>
  <si>
    <t>MVR with Carpentier Edwards Perimount Ease mitral 29mm</t>
    <phoneticPr fontId="2" type="noConversion"/>
  </si>
  <si>
    <t>`- A3 plication
- posteromedial commissuroplasty</t>
    <phoneticPr fontId="2" type="noConversion"/>
  </si>
  <si>
    <t>vancomycin</t>
    <phoneticPr fontId="2" type="noConversion"/>
  </si>
  <si>
    <t>multiple plication</t>
    <phoneticPr fontId="2" type="noConversion"/>
  </si>
  <si>
    <t>PVE</t>
    <phoneticPr fontId="2" type="noConversion"/>
  </si>
  <si>
    <t>MSSA</t>
    <phoneticPr fontId="2" type="noConversion"/>
  </si>
  <si>
    <t>C-E Magna Ease 27mm</t>
    <phoneticPr fontId="2" type="noConversion"/>
  </si>
  <si>
    <t>Rectal cancer s/p NeoCCRT + OP -&gt; recur &amp; brain meta</t>
    <phoneticPr fontId="2" type="noConversion"/>
  </si>
  <si>
    <t>brain</t>
    <phoneticPr fontId="2" type="noConversion"/>
  </si>
  <si>
    <t>Cancer progression</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</si>
  <si>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</si>
  <si>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</si>
  <si>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</si>
  <si>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</si>
  <si>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C-E Perimount Magna 25mm</t>
    <phoneticPr fontId="2" type="noConversion"/>
  </si>
  <si>
    <t>Ampicillin/sulbactam + Ceftriaxone + Gentamycin</t>
    <phoneticPr fontId="2" type="noConversion"/>
  </si>
  <si>
    <t>St. Jude regent 29mm</t>
    <phoneticPr fontId="2" type="noConversion"/>
  </si>
  <si>
    <t>Ampicillin/sulbactam + Ceftriaxone</t>
    <phoneticPr fontId="2" type="noConversion"/>
  </si>
  <si>
    <t>(NG)</t>
    <phoneticPr fontId="2" type="noConversion"/>
  </si>
  <si>
    <t>On-X mitral valve 31/33 mm</t>
    <phoneticPr fontId="2" type="noConversion"/>
  </si>
  <si>
    <t>mild-to-moderate</t>
    <phoneticPr fontId="2" type="noConversion"/>
  </si>
  <si>
    <t>TAP with St. Jude Tailor annuloplasty ring 33mm</t>
    <phoneticPr fontId="2" type="noConversion"/>
  </si>
  <si>
    <t>ampicillin + Nafcillin + Gentamycin</t>
    <phoneticPr fontId="2" type="noConversion"/>
  </si>
  <si>
    <t>bovine pericardial strip</t>
    <phoneticPr fontId="2" type="noConversion"/>
  </si>
  <si>
    <t>A1 plication</t>
    <phoneticPr fontId="2" type="noConversion"/>
  </si>
  <si>
    <t>nafcillin + vancomycin + Ceftriaxcone</t>
    <phoneticPr fontId="2" type="noConversion"/>
  </si>
  <si>
    <t>`- PML partial resection (P1)
- anterolateral commissuroplasty</t>
    <phoneticPr fontId="2" type="noConversion"/>
  </si>
  <si>
    <t>ampicillin/sulbactam + ceftriaxone</t>
    <phoneticPr fontId="2" type="noConversion"/>
  </si>
  <si>
    <t>Streptococcus mitis/Streptococcus oralis</t>
    <phoneticPr fontId="2" type="noConversion"/>
  </si>
  <si>
    <t>On-X 27 mm</t>
    <phoneticPr fontId="2" type="noConversion"/>
  </si>
  <si>
    <t>ampicillin/sulbactam + cetriaxone</t>
    <phoneticPr fontId="2" type="noConversion"/>
  </si>
  <si>
    <t>moderate</t>
    <phoneticPr fontId="2" type="noConversion"/>
  </si>
  <si>
    <t>Carpentier-Edwards Perimount 27mm</t>
    <phoneticPr fontId="2" type="noConversion"/>
  </si>
  <si>
    <t>Duran ring 29mm</t>
    <phoneticPr fontId="2" type="noConversion"/>
  </si>
  <si>
    <t>Leukemia</t>
    <phoneticPr fontId="2" type="noConversion"/>
  </si>
  <si>
    <t>s/p MR repair</t>
    <phoneticPr fontId="2" type="noConversion"/>
  </si>
  <si>
    <t>Bovine pericardium</t>
    <phoneticPr fontId="2" type="noConversion"/>
  </si>
  <si>
    <t>GA-fixed autologous pericardium</t>
  </si>
  <si>
    <t>Vancomycin + Gentamicin</t>
    <phoneticPr fontId="2" type="noConversion"/>
  </si>
  <si>
    <t>moderate-to-severe</t>
    <phoneticPr fontId="2" type="noConversion"/>
  </si>
  <si>
    <t>On-X 27/29mm</t>
    <phoneticPr fontId="2" type="noConversion"/>
  </si>
  <si>
    <t>Ceftriaxone + gentamicin</t>
    <phoneticPr fontId="2" type="noConversion"/>
  </si>
  <si>
    <t>(NG)</t>
    <phoneticPr fontId="2" type="noConversion"/>
  </si>
  <si>
    <t>Brain</t>
    <phoneticPr fontId="2" type="noConversion"/>
  </si>
  <si>
    <t>endometrial cancer</t>
    <phoneticPr fontId="2" type="noConversion"/>
  </si>
  <si>
    <t>severe</t>
    <phoneticPr fontId="2" type="noConversion"/>
  </si>
  <si>
    <t>Carpentier-Edwards PERIMOUNT Magna 25mm</t>
  </si>
  <si>
    <t>Ampicillin/sulbactam + Ceftriaxone</t>
    <phoneticPr fontId="2" type="noConversion"/>
  </si>
  <si>
    <t>Cosgrove-Edwards annuloplasty ring 30mm</t>
    <phoneticPr fontId="2" type="noConversion"/>
  </si>
  <si>
    <t>`- artificial chordae implantation of A1/A3 portion 
- P1/P3/A3 leaflet plication</t>
    <phoneticPr fontId="2" type="noConversion"/>
  </si>
  <si>
    <t>MSSA</t>
    <phoneticPr fontId="2" type="noConversion"/>
  </si>
  <si>
    <t>Scalp</t>
    <phoneticPr fontId="2" type="noConversion"/>
  </si>
  <si>
    <t>minimal</t>
    <phoneticPr fontId="2" type="noConversion"/>
  </si>
  <si>
    <t>St. Jude Medical mechanical valve 31mm</t>
    <phoneticPr fontId="2" type="noConversion"/>
  </si>
  <si>
    <t>Nafcillin</t>
    <phoneticPr fontId="2" type="noConversion"/>
  </si>
  <si>
    <t>MSSA</t>
    <phoneticPr fontId="2" type="noConversion"/>
  </si>
  <si>
    <t>Brain</t>
    <phoneticPr fontId="2" type="noConversion"/>
  </si>
  <si>
    <t>severe</t>
    <phoneticPr fontId="2" type="noConversion"/>
  </si>
  <si>
    <t>Carpentier Edward Perimount 25mm</t>
    <phoneticPr fontId="2" type="noConversion"/>
  </si>
  <si>
    <t>Streptococcus sanguinis</t>
    <phoneticPr fontId="2" type="noConversion"/>
  </si>
  <si>
    <t>moderate</t>
    <phoneticPr fontId="2" type="noConversion"/>
  </si>
  <si>
    <t>St. Jude medical mitral 27mm</t>
    <phoneticPr fontId="2" type="noConversion"/>
  </si>
  <si>
    <t>Gentamycin + vanco</t>
    <phoneticPr fontId="2" type="noConversion"/>
  </si>
  <si>
    <t>Lactobacillus jensenii</t>
    <phoneticPr fontId="2" type="noConversion"/>
  </si>
  <si>
    <t>Carpentier-Edwards PERIMOUNT Plus 25mm</t>
    <phoneticPr fontId="2" type="noConversion"/>
  </si>
  <si>
    <t>PFO primary closure</t>
    <phoneticPr fontId="2" type="noConversion"/>
  </si>
  <si>
    <t>Ceftriaxone + Vanco + Gentamycin</t>
    <phoneticPr fontId="2" type="noConversion"/>
  </si>
  <si>
    <t>MRSA</t>
    <phoneticPr fontId="2" type="noConversion"/>
  </si>
  <si>
    <t>`- Brain
- Lt. brachial a., Rt. Tibioperoneal trunk</t>
    <phoneticPr fontId="2" type="noConversion"/>
  </si>
  <si>
    <t>St. Jude Medical mechanical valve 29mm</t>
    <phoneticPr fontId="2" type="noConversion"/>
  </si>
  <si>
    <t>GS co-Op.</t>
    <phoneticPr fontId="2" type="noConversion"/>
  </si>
  <si>
    <t>Sepsis</t>
    <phoneticPr fontId="2" type="noConversion"/>
  </si>
  <si>
    <t>S.epidermidis</t>
    <phoneticPr fontId="2" type="noConversion"/>
  </si>
  <si>
    <t>CE mitral valve 27mm</t>
  </si>
  <si>
    <t>Brain (Metastatic bacterial meningitis)</t>
    <phoneticPr fontId="2" type="noConversion"/>
  </si>
  <si>
    <t>minimal-to-mild</t>
    <phoneticPr fontId="2" type="noConversion"/>
  </si>
  <si>
    <t>St. Jude Medical mechanical valve 25mm</t>
    <phoneticPr fontId="2" type="noConversion"/>
  </si>
  <si>
    <t>ampicillin + gentamicin + vancomycin</t>
    <phoneticPr fontId="2" type="noConversion"/>
  </si>
  <si>
    <t>C-E physio ring 32 mm</t>
    <phoneticPr fontId="2" type="noConversion"/>
  </si>
  <si>
    <t>`- artificial chordae implantation with GA-fixed autologous pericardium-buttressed 5-0 GoreTex (x2) 
- anterolateral commissural leaflet fusion</t>
    <phoneticPr fontId="2" type="noConversion"/>
  </si>
  <si>
    <t>vancomycin</t>
    <phoneticPr fontId="2" type="noConversion"/>
  </si>
  <si>
    <t>bovine pericardial strip</t>
    <phoneticPr fontId="2" type="noConversion"/>
  </si>
  <si>
    <t xml:space="preserve">ceftriaxone + ampicillin </t>
    <phoneticPr fontId="2" type="noConversion"/>
  </si>
  <si>
    <t>Streptococcus sanguinis, Klebsiella pneumoniae</t>
    <phoneticPr fontId="2" type="noConversion"/>
  </si>
  <si>
    <t>7주</t>
    <phoneticPr fontId="2" type="noConversion"/>
  </si>
  <si>
    <t>Carpentier Edwards Perimount plus M29mm</t>
    <phoneticPr fontId="2" type="noConversion"/>
  </si>
  <si>
    <t>Ampicillin + Gentamicin</t>
    <phoneticPr fontId="2" type="noConversion"/>
  </si>
  <si>
    <t>Streptococcus sanguinis</t>
    <phoneticPr fontId="2" type="noConversion"/>
  </si>
  <si>
    <t>severe</t>
    <phoneticPr fontId="2" type="noConversion"/>
  </si>
  <si>
    <t>On-X 31/33mm</t>
    <phoneticPr fontId="2" type="noConversion"/>
  </si>
  <si>
    <t>Streptococcus anginosus/ gordonii</t>
    <phoneticPr fontId="2" type="noConversion"/>
  </si>
  <si>
    <t>C-E Perimount 27mm</t>
    <phoneticPr fontId="2" type="noConversion"/>
  </si>
  <si>
    <t>Ceftriaxone + ampicillin + gentamicin</t>
    <phoneticPr fontId="2" type="noConversion"/>
  </si>
  <si>
    <t>Streptococcus mutans</t>
    <phoneticPr fontId="2" type="noConversion"/>
  </si>
  <si>
    <t>severe</t>
    <phoneticPr fontId="2" type="noConversion"/>
  </si>
  <si>
    <t>On-X M31/33mm</t>
    <phoneticPr fontId="2" type="noConversion"/>
  </si>
  <si>
    <t>imipenem</t>
    <phoneticPr fontId="2" type="noConversion"/>
  </si>
  <si>
    <t>Lactobacillus rhamnosus</t>
    <phoneticPr fontId="2" type="noConversion"/>
  </si>
  <si>
    <t>PDA s/p PDA closure (1994)
MR s/p mitral annuloplasty (2005)
Hyperthyroidism
Rt. M1 stenosis &amp; Lt. M2 low seg. Stenosis  s/p Rt. M1 coiling Op.</t>
    <phoneticPr fontId="2" type="noConversion"/>
  </si>
  <si>
    <t>Brain</t>
    <phoneticPr fontId="2" type="noConversion"/>
  </si>
  <si>
    <t>Stable angina
    s/p One stage PCI for dLCx (2010.3.19)-&gt; f/u CAG(13.10.11)
    s/p CABG(13.10 31)</t>
    <phoneticPr fontId="2" type="noConversion"/>
  </si>
  <si>
    <t>?</t>
    <phoneticPr fontId="2" type="noConversion"/>
  </si>
  <si>
    <t>Ceftriaxone</t>
    <phoneticPr fontId="2" type="noConversion"/>
  </si>
  <si>
    <t>E. coli</t>
    <phoneticPr fontId="2" type="noConversion"/>
  </si>
  <si>
    <t>Ceftriaxone + ampicillin/sulbactam + vancomycin</t>
    <phoneticPr fontId="2" type="noConversion"/>
  </si>
  <si>
    <t>Streptococcus sanguinis</t>
  </si>
  <si>
    <t>severe</t>
    <phoneticPr fontId="2" type="noConversion"/>
  </si>
  <si>
    <t>Capentier Edwards M 29mm</t>
    <phoneticPr fontId="2" type="noConversion"/>
  </si>
  <si>
    <t>Nafcillin + gentamicin</t>
    <phoneticPr fontId="2" type="noConversion"/>
  </si>
  <si>
    <t>MSSA</t>
    <phoneticPr fontId="2" type="noConversion"/>
  </si>
  <si>
    <t>Carpentier-Edwards PERIMOUNT 25 mm</t>
    <phoneticPr fontId="2" type="noConversion"/>
  </si>
  <si>
    <t>Post. mitral calcification removal</t>
    <phoneticPr fontId="2" type="noConversion"/>
  </si>
  <si>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</si>
  <si>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</si>
  <si>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</si>
  <si>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</si>
  <si>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moderate</t>
    <phoneticPr fontId="2" type="noConversion"/>
  </si>
  <si>
    <t>C-E Perimount M25mm valve</t>
    <phoneticPr fontId="2" type="noConversion"/>
  </si>
  <si>
    <t>cancer progression &amp; liver failure</t>
    <phoneticPr fontId="2" type="noConversion"/>
  </si>
  <si>
    <t>Prostate tumor ca s/p TUR-P</t>
    <phoneticPr fontId="2" type="noConversion"/>
  </si>
  <si>
    <t>Streptococcus oralis</t>
    <phoneticPr fontId="2" type="noConversion"/>
  </si>
  <si>
    <t>Rt. Kidney, spleen</t>
    <phoneticPr fontId="2" type="noConversion"/>
  </si>
  <si>
    <t>ON-X 27 mm</t>
    <phoneticPr fontId="2" type="noConversion"/>
  </si>
  <si>
    <t>Cetriaxtone + Vancomycin</t>
    <phoneticPr fontId="2" type="noConversion"/>
  </si>
  <si>
    <t>Ceftriaxone</t>
    <phoneticPr fontId="2" type="noConversion"/>
  </si>
  <si>
    <t>severe</t>
    <phoneticPr fontId="2" type="noConversion"/>
  </si>
  <si>
    <t>Cosgrove-Edwards annuloplasty ring 30mm</t>
    <phoneticPr fontId="2" type="noConversion"/>
  </si>
  <si>
    <t>`- P2 leaflet plication
- A2 leaflet plication with autologous pericardial patch</t>
    <phoneticPr fontId="2" type="noConversion"/>
  </si>
  <si>
    <t>Vancomycin</t>
    <phoneticPr fontId="2" type="noConversion"/>
  </si>
  <si>
    <t>Streptococcus pyogenes</t>
    <phoneticPr fontId="2" type="noConversion"/>
  </si>
  <si>
    <t>C-E Perimount 27mm valve</t>
    <phoneticPr fontId="2" type="noConversion"/>
  </si>
  <si>
    <t>0</t>
    <phoneticPr fontId="2" type="noConversion"/>
  </si>
  <si>
    <t>15-6-2</t>
    <phoneticPr fontId="2" type="noConversion"/>
  </si>
  <si>
    <t>Streptococcus gordonii</t>
    <phoneticPr fontId="2" type="noConversion"/>
  </si>
  <si>
    <t>1</t>
    <phoneticPr fontId="2" type="noConversion"/>
  </si>
  <si>
    <t>On-X M25mm</t>
    <phoneticPr fontId="2" type="noConversion"/>
  </si>
  <si>
    <t>LC, HCV, alcoholics</t>
    <phoneticPr fontId="2" type="noConversion"/>
  </si>
  <si>
    <t>Ceftriaxone</t>
    <phoneticPr fontId="2" type="noConversion"/>
  </si>
  <si>
    <t>Klebsiella pneumoniae</t>
    <phoneticPr fontId="2" type="noConversion"/>
  </si>
  <si>
    <t>spine, liver</t>
    <phoneticPr fontId="2" type="noConversion"/>
  </si>
  <si>
    <t>C-E Perimount M25mm</t>
    <phoneticPr fontId="2" type="noConversion"/>
  </si>
  <si>
    <t>pneumonia</t>
    <phoneticPr fontId="2" type="noConversion"/>
  </si>
  <si>
    <t>moderate</t>
    <phoneticPr fontId="2" type="noConversion"/>
  </si>
  <si>
    <t>P1 plication</t>
  </si>
  <si>
    <t>Ceftriaxone + vancomycin + Gentamicin</t>
    <phoneticPr fontId="2" type="noConversion"/>
  </si>
  <si>
    <t>mild</t>
    <phoneticPr fontId="2" type="noConversion"/>
  </si>
  <si>
    <t>Posterior leaflet slicing</t>
    <phoneticPr fontId="2" type="noConversion"/>
  </si>
  <si>
    <t>0</t>
    <phoneticPr fontId="2" type="noConversion"/>
  </si>
  <si>
    <t>1</t>
    <phoneticPr fontId="2" type="noConversion"/>
  </si>
  <si>
    <t>Ampicillin/sulbactam + Ceftriaxone</t>
    <phoneticPr fontId="2" type="noConversion"/>
  </si>
  <si>
    <t>(NG)</t>
    <phoneticPr fontId="2" type="noConversion"/>
  </si>
  <si>
    <t>severe</t>
    <phoneticPr fontId="2" type="noConversion"/>
  </si>
  <si>
    <t>SJ Mechanical 27 mm</t>
    <phoneticPr fontId="2" type="noConversion"/>
  </si>
  <si>
    <t>Aortic valve exploration</t>
    <phoneticPr fontId="2" type="noConversion"/>
  </si>
  <si>
    <t>Ampicillin + Gentamicin + vancomycin</t>
    <phoneticPr fontId="2" type="noConversion"/>
  </si>
  <si>
    <t>Viridans streptococcus</t>
    <phoneticPr fontId="2" type="noConversion"/>
  </si>
  <si>
    <t>CE Perimount Magna 25 mm</t>
    <phoneticPr fontId="2" type="noConversion"/>
  </si>
  <si>
    <t>mild-to-moderate</t>
    <phoneticPr fontId="2" type="noConversion"/>
  </si>
  <si>
    <t>TV exploration</t>
    <phoneticPr fontId="2" type="noConversion"/>
  </si>
  <si>
    <t>Nasopharyngeal ca. s/p CCRT</t>
    <phoneticPr fontId="2" type="noConversion"/>
  </si>
  <si>
    <t>MSSA</t>
    <phoneticPr fontId="2" type="noConversion"/>
  </si>
  <si>
    <t>Carpentier-Edward Perimount Magna 27mm</t>
    <phoneticPr fontId="2" type="noConversion"/>
  </si>
  <si>
    <t>Rt. Kidney</t>
    <phoneticPr fontId="2" type="noConversion"/>
  </si>
  <si>
    <t>Carpentier Edwards 25mm</t>
    <phoneticPr fontId="2" type="noConversion"/>
  </si>
  <si>
    <t>Pregnant</t>
    <phoneticPr fontId="2" type="noConversion"/>
  </si>
  <si>
    <t xml:space="preserve">Nafcillin </t>
    <phoneticPr fontId="2" type="noConversion"/>
  </si>
  <si>
    <t>Brain, multiple abscesses</t>
    <phoneticPr fontId="3" type="noConversion"/>
  </si>
  <si>
    <t>Posterior annulus suture annulopasty</t>
    <phoneticPr fontId="2" type="noConversion"/>
  </si>
  <si>
    <t>NCC slicing, commissuroplasty(NCC/RCC, NCC/LCC)</t>
    <phoneticPr fontId="2" type="noConversion"/>
  </si>
  <si>
    <t>Cefepime + Vancomycin</t>
    <phoneticPr fontId="2" type="noConversion"/>
  </si>
  <si>
    <t>Nafcillin + Gentamicin</t>
    <phoneticPr fontId="2" type="noConversion"/>
  </si>
  <si>
    <t>`- triangular resection of P2
 -anterior leaflet repair with fresh autologous pericardium</t>
    <phoneticPr fontId="2" type="noConversion"/>
  </si>
  <si>
    <t>CPR &amp; ROSC</t>
    <phoneticPr fontId="2" type="noConversion"/>
  </si>
  <si>
    <t>Streptococcus agalactiae</t>
  </si>
  <si>
    <t>Knee</t>
    <phoneticPr fontId="2" type="noConversion"/>
  </si>
  <si>
    <t>St. Jude medical valve 27mm</t>
    <phoneticPr fontId="2" type="noConversion"/>
  </si>
  <si>
    <t>Carpentier-Edwards PERIMOUNT Plus 27mm</t>
  </si>
  <si>
    <t>Ampicillin + Ceftriaxone + Vancomycin</t>
    <phoneticPr fontId="2" type="noConversion"/>
  </si>
  <si>
    <t>AVP with NCC slicing &amp; commissuroplasty (NCC-RCC, NCC-LCC)</t>
    <phoneticPr fontId="2" type="noConversion"/>
  </si>
  <si>
    <t>Brain, kidney</t>
    <phoneticPr fontId="2" type="noConversion"/>
  </si>
  <si>
    <t>St. Jude mechanical mitral valve 29mm</t>
    <phoneticPr fontId="2" type="noConversion"/>
  </si>
  <si>
    <t>Brain, Spleen</t>
    <phoneticPr fontId="2" type="noConversion"/>
  </si>
  <si>
    <t>TAP with SJM Tailor Annuloplasty Ring 33mm</t>
  </si>
  <si>
    <t>MSSA</t>
    <phoneticPr fontId="2" type="noConversion"/>
  </si>
  <si>
    <t>moderate-to-severe</t>
    <phoneticPr fontId="2" type="noConversion"/>
  </si>
  <si>
    <t>SJM Masters Series 31mm</t>
    <phoneticPr fontId="2" type="noConversion"/>
  </si>
  <si>
    <t>Granulicatella adiacens</t>
    <phoneticPr fontId="2" type="noConversion"/>
  </si>
  <si>
    <t>severe</t>
    <phoneticPr fontId="2" type="noConversion"/>
  </si>
  <si>
    <t>MVR with On-X valve (31/33mm)</t>
    <phoneticPr fontId="2" type="noConversion"/>
  </si>
  <si>
    <t>Ceftriaxone + Gentamicin</t>
    <phoneticPr fontId="2" type="noConversion"/>
  </si>
  <si>
    <t>Steroptococcus sanguinis</t>
    <phoneticPr fontId="2" type="noConversion"/>
  </si>
  <si>
    <t>Brain</t>
    <phoneticPr fontId="2" type="noConversion"/>
  </si>
  <si>
    <t>moderate</t>
    <phoneticPr fontId="2" type="noConversion"/>
  </si>
  <si>
    <t>Carpentier-Edwards PERIMOUNT Plus 27mm</t>
    <phoneticPr fontId="2" type="noConversion"/>
  </si>
  <si>
    <t>LAA internal closure</t>
  </si>
  <si>
    <t>Ampicillin + Ceftriaxone + Gentamicin</t>
    <phoneticPr fontId="2" type="noConversion"/>
  </si>
  <si>
    <t>bovine pericardial strip</t>
    <phoneticPr fontId="2" type="noConversion"/>
  </si>
  <si>
    <t>minimal-to-mild</t>
    <phoneticPr fontId="2" type="noConversion"/>
  </si>
  <si>
    <t>TAP with bovine pericardial strip</t>
    <phoneticPr fontId="2" type="noConversion"/>
  </si>
  <si>
    <t>Ampicillin/sulbactam + nafcillin + gentamicin</t>
    <phoneticPr fontId="2" type="noConversion"/>
  </si>
  <si>
    <t>streptococcus mutans</t>
    <phoneticPr fontId="2" type="noConversion"/>
  </si>
  <si>
    <t>St. jude epic valve 33mm</t>
    <phoneticPr fontId="2" type="noConversion"/>
  </si>
  <si>
    <t>mild</t>
    <phoneticPr fontId="2" type="noConversion"/>
  </si>
  <si>
    <t>TAP with St.jude Duran ring 29mm</t>
    <phoneticPr fontId="2" type="noConversion"/>
  </si>
  <si>
    <t>`- triangular resection of P1
- posteromedial commissural fusion</t>
    <phoneticPr fontId="2" type="noConversion"/>
  </si>
  <si>
    <t>`- Artificial chordae formation (A2-A3)
- Posteromedial commissural fusion</t>
    <phoneticPr fontId="2" type="noConversion"/>
  </si>
  <si>
    <t>severe</t>
    <phoneticPr fontId="2" type="noConversion"/>
  </si>
  <si>
    <t>posteromedial commissural fusion</t>
    <phoneticPr fontId="2" type="noConversion"/>
  </si>
  <si>
    <t>Ceftriaxone</t>
    <phoneticPr fontId="2" type="noConversion"/>
  </si>
  <si>
    <t>Carpentier-Edwards Cosgrove ring annuloplasty 30mm</t>
    <phoneticPr fontId="2" type="noConversion"/>
  </si>
  <si>
    <t>anterolateral commissuroplastyI(P1)</t>
    <phoneticPr fontId="2" type="noConversion"/>
  </si>
  <si>
    <t>Ampicillin + Nafcillin + Gentamicin</t>
    <phoneticPr fontId="2" type="noConversion"/>
  </si>
  <si>
    <t>(NG)</t>
    <phoneticPr fontId="2" type="noConversion"/>
  </si>
  <si>
    <t>St. Jude Medical 29mm</t>
  </si>
  <si>
    <t>TAP with St. Jude Tailor ring 33mm
TVP with anteroseptal commissural fusion</t>
    <phoneticPr fontId="2" type="noConversion"/>
  </si>
  <si>
    <t>Hemophilus parainfluenzae</t>
    <phoneticPr fontId="2" type="noConversion"/>
  </si>
  <si>
    <t>Brain, spleen</t>
    <phoneticPr fontId="2" type="noConversion"/>
  </si>
  <si>
    <t>On-X valve 27/29mm</t>
  </si>
  <si>
    <t>Brain</t>
    <phoneticPr fontId="2" type="noConversion"/>
  </si>
  <si>
    <t>partial annular plication between P3 and posteromedial commissure</t>
    <phoneticPr fontId="2" type="noConversion"/>
  </si>
  <si>
    <t>triangular resection of P1</t>
    <phoneticPr fontId="2" type="noConversion"/>
  </si>
  <si>
    <t>mild-to-moderate</t>
    <phoneticPr fontId="2" type="noConversion"/>
  </si>
  <si>
    <t>TAP with De Vega method</t>
  </si>
  <si>
    <t>ASD primary closure</t>
    <phoneticPr fontId="2" type="noConversion"/>
  </si>
  <si>
    <t>hepatitis</t>
    <phoneticPr fontId="2" type="noConversion"/>
  </si>
  <si>
    <t>ASD closure with GA-fixed autologous pericardial patch</t>
    <phoneticPr fontId="2" type="noConversion"/>
  </si>
  <si>
    <t>Ceftriaxone + Gentamycin</t>
    <phoneticPr fontId="2" type="noConversion"/>
  </si>
  <si>
    <t>Cosgrove-Edwards Annuloplasty ring 30mm</t>
    <phoneticPr fontId="2" type="noConversion"/>
  </si>
  <si>
    <t>`- A1 artificial chorda formation
- anterolateral commissuroplasty</t>
    <phoneticPr fontId="2" type="noConversion"/>
  </si>
  <si>
    <t xml:space="preserve">Ceftriaxone + Gentamicin </t>
    <phoneticPr fontId="2" type="noConversion"/>
  </si>
  <si>
    <t>minimal</t>
    <phoneticPr fontId="2" type="noConversion"/>
  </si>
  <si>
    <t xml:space="preserve">partial posterior annuloplasty </t>
    <phoneticPr fontId="2" type="noConversion"/>
  </si>
  <si>
    <t xml:space="preserve">posteromedial commissuroplasty </t>
  </si>
  <si>
    <t>Serratia marcescens</t>
  </si>
  <si>
    <t>Brain, Right leg</t>
    <phoneticPr fontId="2" type="noConversion"/>
  </si>
  <si>
    <t>moderate-to-severe</t>
    <phoneticPr fontId="2" type="noConversion"/>
  </si>
  <si>
    <t>On-X mitral valve 27/29</t>
    <phoneticPr fontId="2" type="noConversion"/>
  </si>
  <si>
    <t>LAA internal obliteration</t>
    <phoneticPr fontId="2" type="noConversion"/>
  </si>
  <si>
    <t>MRSA</t>
    <phoneticPr fontId="2" type="noConversion"/>
  </si>
  <si>
    <t>ON-X valve 27/29mm</t>
    <phoneticPr fontId="2" type="noConversion"/>
  </si>
  <si>
    <t>Ceftriaoxone + Gentamicin</t>
    <phoneticPr fontId="2" type="noConversion"/>
  </si>
  <si>
    <t>On-X valve 31/33m</t>
    <phoneticPr fontId="2" type="noConversion"/>
  </si>
  <si>
    <t>Vancomicin</t>
    <phoneticPr fontId="2" type="noConversion"/>
  </si>
  <si>
    <t>St. jude epic valve 25mm</t>
    <phoneticPr fontId="2" type="noConversion"/>
  </si>
  <si>
    <t>MSSA</t>
    <phoneticPr fontId="2" type="noConversion"/>
  </si>
  <si>
    <t>moderate</t>
    <phoneticPr fontId="2" type="noConversion"/>
  </si>
  <si>
    <t>LC</t>
    <phoneticPr fontId="2" type="noConversion"/>
  </si>
  <si>
    <t>On-X 27/29 valve</t>
    <phoneticPr fontId="2" type="noConversion"/>
  </si>
  <si>
    <t>Ampicillin/sulbactam</t>
    <phoneticPr fontId="2" type="noConversion"/>
  </si>
  <si>
    <t>Streptococcus sanguinis/ovis</t>
    <phoneticPr fontId="2" type="noConversion"/>
  </si>
  <si>
    <t>ON-X 27mm</t>
    <phoneticPr fontId="2" type="noConversion"/>
  </si>
  <si>
    <t>GB stone
S/P Radical hysterectomy d/t Cervical cancer (1996)</t>
    <phoneticPr fontId="2" type="noConversion"/>
  </si>
  <si>
    <t>Enterococcus faecalis</t>
    <phoneticPr fontId="2" type="noConversion"/>
  </si>
  <si>
    <t>0</t>
    <phoneticPr fontId="2" type="noConversion"/>
  </si>
  <si>
    <t>1</t>
    <phoneticPr fontId="2" type="noConversion"/>
  </si>
  <si>
    <t>Carpentier-Edwards PERIMOUNT Plus mitral valve 25 mm</t>
    <phoneticPr fontId="2" type="noConversion"/>
  </si>
  <si>
    <t>P2 triagular resection and recontruction</t>
    <phoneticPr fontId="2" type="noConversion"/>
  </si>
  <si>
    <t>Ampicillin + Ceftriaxone</t>
    <phoneticPr fontId="2" type="noConversion"/>
  </si>
  <si>
    <t>Brain, spleen, Rt. Kidney</t>
    <phoneticPr fontId="3" type="noConversion"/>
  </si>
  <si>
    <t>mild</t>
    <phoneticPr fontId="2" type="noConversion"/>
  </si>
  <si>
    <t>posterior annular plication and wooler method</t>
    <phoneticPr fontId="2" type="noConversion"/>
  </si>
  <si>
    <t>artificial chordae formation (A2)</t>
  </si>
  <si>
    <t>posterolateral commissure fusion</t>
    <phoneticPr fontId="2" type="noConversion"/>
  </si>
  <si>
    <t>Vancomycin</t>
    <phoneticPr fontId="2" type="noConversion"/>
  </si>
  <si>
    <t>On-X 27-29mm</t>
    <phoneticPr fontId="2" type="noConversion"/>
  </si>
  <si>
    <t>TAP with SJM Tailor ring 31mm</t>
    <phoneticPr fontId="2" type="noConversion"/>
  </si>
  <si>
    <t>ceftriaxone + vancomycin + gentamicin</t>
    <phoneticPr fontId="2" type="noConversion"/>
  </si>
  <si>
    <t>Streptococcus Viridanse, Enterococcus faecalis</t>
    <phoneticPr fontId="2" type="noConversion"/>
  </si>
  <si>
    <t>SJM Masters Series 29mm</t>
    <phoneticPr fontId="2" type="noConversion"/>
  </si>
  <si>
    <t>TAP with SJM Tailor Annuloplasty ring 29mm</t>
    <phoneticPr fontId="2" type="noConversion"/>
  </si>
  <si>
    <t>Sepsis</t>
    <phoneticPr fontId="2" type="noConversion"/>
  </si>
  <si>
    <t>nafcillin</t>
    <phoneticPr fontId="2" type="noConversion"/>
  </si>
  <si>
    <t>`- Wooler annuloplasty
- Multiple plication suture at posterior annulus (P2, P3)</t>
    <phoneticPr fontId="2" type="noConversion"/>
  </si>
  <si>
    <t>P3 plication</t>
    <phoneticPr fontId="2" type="noConversion"/>
  </si>
  <si>
    <t>Wooler mothod</t>
    <phoneticPr fontId="2" type="noConversion"/>
  </si>
  <si>
    <t>` - P3 plication 
- neochordae formation
- posteromedial commissural fusion</t>
    <phoneticPr fontId="2" type="noConversion"/>
  </si>
  <si>
    <t>ampicillin + nafcillin + gentamicin</t>
    <phoneticPr fontId="2" type="noConversion"/>
  </si>
  <si>
    <t>Streptococcus agalatiae</t>
    <phoneticPr fontId="2" type="noConversion"/>
  </si>
  <si>
    <t>Carpentier-Edwards PERIMOUNT Plus 29mm</t>
    <phoneticPr fontId="2" type="noConversion"/>
  </si>
  <si>
    <t>TAP with Edwards MC3 Annuloplasty ring 32mm</t>
    <phoneticPr fontId="2" type="noConversion"/>
  </si>
  <si>
    <t>Ampicillin/sulbactam + Ceftriaxone + Vancomycin</t>
    <phoneticPr fontId="2" type="noConversion"/>
  </si>
  <si>
    <t>posteromedial commissuroplasty</t>
    <phoneticPr fontId="2" type="noConversion"/>
  </si>
  <si>
    <t>Nafcillin + vancomycin</t>
    <phoneticPr fontId="2" type="noConversion"/>
  </si>
  <si>
    <t>P3 quadriangular resection</t>
  </si>
  <si>
    <t>Wooler's method</t>
    <phoneticPr fontId="2" type="noConversion"/>
  </si>
  <si>
    <t>artificial chordae formation (A3)</t>
    <phoneticPr fontId="2" type="noConversion"/>
  </si>
  <si>
    <t>Esophageal cancer, s/p Ivor Lewis op (10.10.18), NETR</t>
    <phoneticPr fontId="2" type="noConversion"/>
  </si>
  <si>
    <t>Ampicillin + Nafcillin + Gentamicin</t>
    <phoneticPr fontId="2" type="noConversion"/>
  </si>
  <si>
    <t>S.epidermidis</t>
    <phoneticPr fontId="2" type="noConversion"/>
  </si>
  <si>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</si>
  <si>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</si>
  <si>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</si>
  <si>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t>
    <phoneticPr fontId="2" type="noConversion"/>
  </si>
  <si>
    <t>Ceftriaxone + Ampicillin + Gentamicin</t>
    <phoneticPr fontId="2" type="noConversion"/>
  </si>
  <si>
    <t>`- Triangular resection (P3) &amp; Posteriormedial comissuroplasty
- A3 plication
- Anteriorolateral comissuroplasty</t>
    <phoneticPr fontId="2" type="noConversion"/>
  </si>
  <si>
    <t>Ceftriaxone + Vancomycin</t>
    <phoneticPr fontId="2" type="noConversion"/>
  </si>
  <si>
    <t>bovine pericardial strip</t>
    <phoneticPr fontId="2"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</si>
  <si>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</si>
  <si>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anterolateral commissural fusion</t>
    <phoneticPr fontId="2" type="noConversion"/>
  </si>
  <si>
    <t>`- P3 plication
- posteromedial commissural fusion</t>
    <phoneticPr fontId="2" type="noConversion"/>
  </si>
  <si>
    <t>Group G Streptococcus</t>
    <phoneticPr fontId="2" type="noConversion"/>
  </si>
  <si>
    <t>St. Jude Epic valve 25mm</t>
  </si>
  <si>
    <t>MS (severe)
    s/p PMV(ballooning repair) (1999)
PTC
    s/p Total thyroidectomy (1996.7.23) 
LAVH d/t multiple myomas (2005.11.17)</t>
    <phoneticPr fontId="2" type="noConversion"/>
  </si>
  <si>
    <t>Streptococcus anginosus</t>
    <phoneticPr fontId="2" type="noConversion"/>
  </si>
  <si>
    <t>St. Jude M29mm</t>
    <phoneticPr fontId="2" type="noConversion"/>
  </si>
  <si>
    <t>SJM Epic mitral 29mm</t>
  </si>
  <si>
    <t>C-E Cosgrove ring 28mm</t>
    <phoneticPr fontId="2" type="noConversion"/>
  </si>
  <si>
    <t>`- artificial chordae formation
- A1, A2 leaflet plication</t>
    <phoneticPr fontId="2" type="noConversion"/>
  </si>
  <si>
    <t>DM foot s/p amputation</t>
    <phoneticPr fontId="2" type="noConversion"/>
  </si>
  <si>
    <t>bovine pericardium</t>
    <phoneticPr fontId="2" type="noConversion"/>
  </si>
  <si>
    <t>Aortic valvular mass excision (RCC LV side)</t>
    <phoneticPr fontId="2" type="noConversion"/>
  </si>
  <si>
    <t>Ceftriaxone + Vancomycin + Gentamicin</t>
    <phoneticPr fontId="2" type="noConversion"/>
  </si>
  <si>
    <t>Streptococcus pneumoniae</t>
    <phoneticPr fontId="2" type="noConversion"/>
  </si>
  <si>
    <t>Brain, Eye</t>
    <phoneticPr fontId="2" type="noConversion"/>
  </si>
  <si>
    <t>On-X 25mm</t>
    <phoneticPr fontId="2" type="noConversion"/>
  </si>
  <si>
    <t>Staphylococcus lugdunensis</t>
    <phoneticPr fontId="2" type="noConversion"/>
  </si>
  <si>
    <t>C-E perimount M27mm</t>
    <phoneticPr fontId="2" type="noConversion"/>
  </si>
  <si>
    <t>spleen</t>
    <phoneticPr fontId="2" type="noConversion"/>
  </si>
  <si>
    <t>Vancomycin + Rifampin</t>
    <phoneticPr fontId="2" type="noConversion"/>
  </si>
  <si>
    <t>Spine</t>
    <phoneticPr fontId="2" type="noConversion"/>
  </si>
  <si>
    <t>Aortic dissection, Type A 
  s/p Replacement of ascending aorta &amp; hemiarch(2009.12)</t>
    <phoneticPr fontId="2" type="noConversion"/>
  </si>
  <si>
    <t>St. Jude medical 31mm</t>
    <phoneticPr fontId="2"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</si>
  <si>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</si>
  <si>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</si>
  <si>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</si>
  <si>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Granulicatella para-adiacens</t>
    <phoneticPr fontId="2" type="noConversion"/>
  </si>
  <si>
    <t>Wooler methoed (posterolateral commissure)</t>
    <phoneticPr fontId="2" type="noConversion"/>
  </si>
  <si>
    <t>triangular resection and repair of P2 leaflet with annular plication</t>
    <phoneticPr fontId="2" type="noConversion"/>
  </si>
  <si>
    <t>Aortic valve annuloplasty</t>
  </si>
  <si>
    <t>Nafcillin + Penicillin G</t>
    <phoneticPr fontId="2" type="noConversion"/>
  </si>
  <si>
    <t>A2 artificial chordae formation</t>
    <phoneticPr fontId="2" type="noConversion"/>
  </si>
  <si>
    <t>cerebral aneurysm
  s/p clipping(2010.8.11.)</t>
    <phoneticPr fontId="2" type="noConversion"/>
  </si>
  <si>
    <t>vancomycin + teicoplanin</t>
    <phoneticPr fontId="2" type="noConversion"/>
  </si>
  <si>
    <t>St. Jude 31mm</t>
    <phoneticPr fontId="2" type="noConversion"/>
  </si>
  <si>
    <t>Renal failure</t>
    <phoneticPr fontId="2" type="noConversion"/>
  </si>
  <si>
    <t>moderate</t>
    <phoneticPr fontId="2" type="noConversion"/>
  </si>
  <si>
    <t>Ceftriaxone + Gentamicin</t>
    <phoneticPr fontId="2" type="noConversion"/>
  </si>
  <si>
    <t>modified Wooler method</t>
    <phoneticPr fontId="2" type="noConversion"/>
  </si>
  <si>
    <t>P2 leaflet</t>
    <phoneticPr fontId="2" type="noConversion"/>
  </si>
  <si>
    <t>Patch closure of septal aneurysm with fresh autologous pericardium</t>
    <phoneticPr fontId="2" type="noConversion"/>
  </si>
  <si>
    <t>Lt. SC joint</t>
    <phoneticPr fontId="2" type="noConversion"/>
  </si>
  <si>
    <t>Patch closure of mitral valve leaflet defect wit GA fixed autulogus pericardiu</t>
  </si>
  <si>
    <t>Ampicillin/sulbactam</t>
    <phoneticPr fontId="2" type="noConversion"/>
  </si>
  <si>
    <t>severe</t>
    <phoneticPr fontId="2" type="noConversion"/>
  </si>
  <si>
    <t>On-X 27mm</t>
    <phoneticPr fontId="2" type="noConversion"/>
  </si>
  <si>
    <t>AVP(penetrated RCC repair)</t>
    <phoneticPr fontId="2" type="noConversion"/>
  </si>
  <si>
    <t>Colon ca.
  s/p Adjuvant CTx.</t>
    <phoneticPr fontId="3" type="noConversion"/>
  </si>
  <si>
    <t>Ampicillin + Nafcillin + Gentamicin</t>
    <phoneticPr fontId="2" type="noConversion"/>
  </si>
  <si>
    <t>Viridans streptococcus</t>
    <phoneticPr fontId="3" type="noConversion"/>
  </si>
  <si>
    <t>bovine pericardium strip</t>
  </si>
  <si>
    <t>commissuroplasty,</t>
  </si>
  <si>
    <t xml:space="preserve"> Rt frontal lobe septic embolic infarction
Liver</t>
    <phoneticPr fontId="3" type="noConversion"/>
  </si>
  <si>
    <t>St. Jude Medical Epic 29mm</t>
  </si>
  <si>
    <t>leaflet slicing &amp; commissural resuspension</t>
    <phoneticPr fontId="2" type="noConversion"/>
  </si>
  <si>
    <t>Ceftriaxone + Ampicillin + Gantamycin</t>
    <phoneticPr fontId="2" type="noConversion"/>
  </si>
  <si>
    <t>A3 reconstruction</t>
    <phoneticPr fontId="2" type="noConversion"/>
  </si>
  <si>
    <t>Cosgrove 32mm</t>
    <phoneticPr fontId="2" type="noConversion"/>
  </si>
  <si>
    <t>Ceftriaxone + Gentamycin</t>
    <phoneticPr fontId="2" type="noConversion"/>
  </si>
  <si>
    <t>streptococcus sanguinis</t>
    <phoneticPr fontId="2" type="noConversion"/>
  </si>
  <si>
    <t>Brain</t>
    <phoneticPr fontId="2" type="noConversion"/>
  </si>
  <si>
    <t>On-X valve 25mm</t>
    <phoneticPr fontId="2" type="noConversion"/>
  </si>
  <si>
    <t>SLE c thrombocytopenia
Epilepsy</t>
    <phoneticPr fontId="2" type="noConversion"/>
  </si>
  <si>
    <t>Erysipelothrix rhusiopathiae</t>
    <phoneticPr fontId="2" type="noConversion"/>
  </si>
  <si>
    <t>meningitis</t>
    <phoneticPr fontId="2" type="noConversion"/>
  </si>
  <si>
    <t>St. Jude Medical 27mm</t>
  </si>
  <si>
    <t>minimal</t>
    <phoneticPr fontId="2" type="noConversion"/>
  </si>
  <si>
    <t>Penicillin + Gentamicin</t>
    <phoneticPr fontId="2" type="noConversion"/>
  </si>
  <si>
    <t>GA-fixed autologous pericardial strip</t>
    <phoneticPr fontId="2" type="noConversion"/>
  </si>
  <si>
    <t>`- posteromedial commissural fusion
- artificial chordae implantation (X 2 pairs)</t>
    <phoneticPr fontId="2" type="noConversion"/>
  </si>
  <si>
    <t>TAP with Duran ring 29mm</t>
    <phoneticPr fontId="2" type="noConversion"/>
  </si>
  <si>
    <t>nafcillin + ceftriaxone</t>
    <phoneticPr fontId="2" type="noConversion"/>
  </si>
  <si>
    <t>Infective spondylitis</t>
    <phoneticPr fontId="2" type="noConversion"/>
  </si>
  <si>
    <t>bovine pericardium(partial)</t>
    <phoneticPr fontId="2" type="noConversion"/>
  </si>
  <si>
    <t xml:space="preserve">`- ant. leaflet reconstruction with GA-fixed autologous pericardium
- post. leaflet trianular resection </t>
    <phoneticPr fontId="2" type="noConversion"/>
  </si>
  <si>
    <t>LC-B</t>
    <phoneticPr fontId="2" type="noConversion"/>
  </si>
  <si>
    <t>St. Jude Medical 33mm</t>
  </si>
  <si>
    <t>GA-fixed pericardial strip</t>
    <phoneticPr fontId="2" type="noConversion"/>
  </si>
  <si>
    <t>medial commissuroplasty</t>
    <phoneticPr fontId="2" type="noConversion"/>
  </si>
  <si>
    <t>ampicillin + genta + ceftriaxone</t>
    <phoneticPr fontId="2" type="noConversion"/>
  </si>
  <si>
    <t>VSD</t>
    <phoneticPr fontId="2" type="noConversion"/>
  </si>
  <si>
    <t>ceftrixone + vancomycin</t>
    <phoneticPr fontId="2" type="noConversion"/>
  </si>
  <si>
    <t>Streptococcus mitis/Streptococcus oralis</t>
  </si>
  <si>
    <t>TAP with GA-fixed autologous pericardial strip</t>
    <phoneticPr fontId="2" type="noConversion"/>
  </si>
  <si>
    <t>VSD closure with bovine pericardium
RVOT reinforcemen</t>
    <phoneticPr fontId="2" type="noConversion"/>
  </si>
  <si>
    <t>Posteromedial commissuroplasty (Wooler technique)</t>
    <phoneticPr fontId="2" type="noConversion"/>
  </si>
  <si>
    <t>vegetation resection(A3/P3) and repair with fresh autologous pericardial patch</t>
    <phoneticPr fontId="2" type="noConversion"/>
  </si>
  <si>
    <t>PM commisural fusion</t>
    <phoneticPr fontId="2" type="noConversion"/>
  </si>
  <si>
    <t>Rt. subacute brain hemorrahge
Splenic infarction
Renal abscess</t>
    <phoneticPr fontId="3" type="noConversion"/>
  </si>
  <si>
    <t>quadroangular resection</t>
  </si>
  <si>
    <t>Mental retardation</t>
    <phoneticPr fontId="2" type="noConversion"/>
  </si>
  <si>
    <t>St. Jude medical mechanical M33mm</t>
    <phoneticPr fontId="2" type="noConversion"/>
  </si>
  <si>
    <t>Streptococcus viridans group</t>
  </si>
  <si>
    <t>Brain
Kidney</t>
    <phoneticPr fontId="2" type="noConversion"/>
  </si>
  <si>
    <t>LAA obliteration</t>
    <phoneticPr fontId="2" type="noConversion"/>
  </si>
  <si>
    <t>pneumonia 진행</t>
    <phoneticPr fontId="2" type="noConversion"/>
  </si>
  <si>
    <t xml:space="preserve">Vancomycin+ gentamicin </t>
    <phoneticPr fontId="2" type="noConversion"/>
  </si>
  <si>
    <t>repair of posterior leaflet with GA fixed autologous pericardium</t>
    <phoneticPr fontId="2" type="noConversion"/>
  </si>
  <si>
    <t>Cefazolin + Gentamicin</t>
    <phoneticPr fontId="2" type="noConversion"/>
  </si>
  <si>
    <t>Wooler technique(posteromedial commissure)</t>
    <phoneticPr fontId="2" type="noConversion"/>
  </si>
  <si>
    <t>Carpentier Edward Magna 29mm</t>
    <phoneticPr fontId="2" type="noConversion"/>
  </si>
  <si>
    <t>Brain</t>
    <phoneticPr fontId="2" type="noConversion"/>
  </si>
  <si>
    <t>severe</t>
    <phoneticPr fontId="2" type="noConversion"/>
  </si>
  <si>
    <t>(NG)</t>
    <phoneticPr fontId="2" type="noConversion"/>
  </si>
  <si>
    <t>St. Jude 29mm</t>
    <phoneticPr fontId="2" type="noConversion"/>
  </si>
  <si>
    <t>mild-to-moderate</t>
    <phoneticPr fontId="2" type="noConversion"/>
  </si>
  <si>
    <t>bovine pericardial strip</t>
    <phoneticPr fontId="2" type="noConversion"/>
  </si>
  <si>
    <t>`- papillary muscle plication
- commissuroplasty</t>
    <phoneticPr fontId="2" type="noConversion"/>
  </si>
  <si>
    <t>Popliteal artery, Lt.</t>
    <phoneticPr fontId="2" type="noConversion"/>
  </si>
  <si>
    <t>moderate</t>
    <phoneticPr fontId="2" type="noConversion"/>
  </si>
  <si>
    <t>Bovine pericardium</t>
    <phoneticPr fontId="2" type="noConversion"/>
  </si>
  <si>
    <t>HCV</t>
    <phoneticPr fontId="2" type="noConversion"/>
  </si>
  <si>
    <t>quadrangular resection of P1</t>
    <phoneticPr fontId="2" type="noConversion"/>
  </si>
  <si>
    <t>Ampicillin + Gentamicin</t>
    <phoneticPr fontId="2" type="noConversion"/>
  </si>
  <si>
    <t>S.agalactiae</t>
  </si>
  <si>
    <t>St. Jude epic valve 29mm</t>
    <phoneticPr fontId="2" type="noConversion"/>
  </si>
  <si>
    <t>Cervical ca. s/p hysterectomy (2000)</t>
    <phoneticPr fontId="2" type="noConversion"/>
  </si>
  <si>
    <t>Streptococcus constellatus</t>
    <phoneticPr fontId="2" type="noConversion"/>
  </si>
  <si>
    <t>St Jude mitral 29mm</t>
    <phoneticPr fontId="2" type="noConversion"/>
  </si>
  <si>
    <t>On-X 27/29mm</t>
  </si>
  <si>
    <t>St. Jude Biocor 25mm</t>
    <phoneticPr fontId="2" type="noConversion"/>
  </si>
  <si>
    <t>TAP (Kay)</t>
    <phoneticPr fontId="2" type="noConversion"/>
  </si>
  <si>
    <t>quadrangular resection of PMVL</t>
    <phoneticPr fontId="2" type="noConversion"/>
  </si>
  <si>
    <t>HBV</t>
    <phoneticPr fontId="2" type="noConversion"/>
  </si>
  <si>
    <t>AS (severe)
TR (mild to moderate)
atrial fibrillation
  s/p AVR with C-E Perimount 21mm (2006.1.4.)
       TAP with St Jude Tailor ring 29mm
       modified Maze operation with bipolar radiofrequency ablaton &amp; cryoablation</t>
    <phoneticPr fontId="2" type="noConversion"/>
  </si>
  <si>
    <t>Cervical ca. s/p Op.</t>
    <phoneticPr fontId="2" type="noConversion"/>
  </si>
  <si>
    <t>Biocor 27mm</t>
    <phoneticPr fontId="2" type="noConversion"/>
  </si>
  <si>
    <t>Cefazolin+Ampicillin+Gentamicin</t>
    <phoneticPr fontId="2" type="noConversion"/>
  </si>
  <si>
    <t>St. Jude 29mm</t>
  </si>
  <si>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</si>
  <si>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</si>
  <si>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</si>
  <si>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BUrkitt's lymphoma, stage IV s/p Reduction chemotherapy(2006.1.13.)</t>
    <phoneticPr fontId="2" type="noConversion"/>
  </si>
  <si>
    <t>St.jude Biocor 29mm</t>
    <phoneticPr fontId="2" type="noConversion"/>
  </si>
  <si>
    <t>RA vegetation removal</t>
    <phoneticPr fontId="2" type="noConversion"/>
  </si>
  <si>
    <t>Ceftriaxone/Gentamycin</t>
  </si>
  <si>
    <t>Streptococcus pasteurianus</t>
    <phoneticPr fontId="2" type="noConversion"/>
  </si>
  <si>
    <t>Bladder cancer</t>
    <phoneticPr fontId="2" type="noConversion"/>
  </si>
  <si>
    <t>Ceftriaxone + GM</t>
    <phoneticPr fontId="2" type="noConversion"/>
  </si>
  <si>
    <t>Streptococcus constellatus,
Streptococcus sanguinis</t>
    <phoneticPr fontId="2" type="noConversion"/>
  </si>
  <si>
    <t>Biocor 29mm</t>
    <phoneticPr fontId="2" type="noConversion"/>
  </si>
  <si>
    <t>TAP with St Jude Tailor ring 31mm</t>
    <phoneticPr fontId="2" type="noConversion"/>
  </si>
  <si>
    <t>streptococcus mitis</t>
    <phoneticPr fontId="2" type="noConversion"/>
  </si>
  <si>
    <t>Artificial chordae(two pairs) on A2</t>
    <phoneticPr fontId="2" type="noConversion"/>
  </si>
  <si>
    <t>Cefazolin</t>
    <phoneticPr fontId="2" type="noConversion"/>
  </si>
  <si>
    <t>S-J Tailor ring 27mm</t>
  </si>
  <si>
    <t>`- A1 and P1 patial resection 
- leaflet augmentation with GA fixed autologous</t>
    <phoneticPr fontId="2" type="noConversion"/>
  </si>
  <si>
    <t>NCC patch repair with GA fixed autologous pericardium</t>
  </si>
  <si>
    <t>spondylitis</t>
    <phoneticPr fontId="2" type="noConversion"/>
  </si>
  <si>
    <t>Carpentier Edward annuloplasty ring 28mm</t>
    <phoneticPr fontId="2" type="noConversion"/>
  </si>
  <si>
    <t>`- P2 quadriangular resection and primary repair
- anterolateral commissuroplasty</t>
    <phoneticPr fontId="2" type="noConversion"/>
  </si>
  <si>
    <t>Ampicillin + Cefazolin + Gentamicin</t>
    <phoneticPr fontId="2" type="noConversion"/>
  </si>
  <si>
    <t>ON-X valve 25mm(supra-annular)</t>
    <phoneticPr fontId="2" type="noConversion"/>
  </si>
  <si>
    <t>Vancomicin + Gentamicin</t>
    <phoneticPr fontId="2" type="noConversion"/>
  </si>
  <si>
    <t>Ceftriaxone + Tobramycin</t>
    <phoneticPr fontId="2" type="noConversion"/>
  </si>
  <si>
    <t>underlying MR</t>
    <phoneticPr fontId="2" type="noConversion"/>
  </si>
  <si>
    <t>C-E pericardial valve 27mm</t>
    <phoneticPr fontId="2" type="noConversion"/>
  </si>
  <si>
    <t>Tb s/p stent</t>
    <phoneticPr fontId="2" type="noConversion"/>
  </si>
  <si>
    <t>peripheral</t>
    <phoneticPr fontId="2" type="noConversion"/>
  </si>
  <si>
    <t>St. Jude 27mm</t>
    <phoneticPr fontId="2" type="noConversion"/>
  </si>
  <si>
    <t>AVP (leaflet slicing, cimmissuroplasty)</t>
    <phoneticPr fontId="2" type="noConversion"/>
  </si>
  <si>
    <t>TAP with Kay method</t>
    <phoneticPr fontId="2" type="noConversion"/>
  </si>
  <si>
    <t>Brain, Eye, peripheral</t>
    <phoneticPr fontId="2" type="noConversion"/>
  </si>
  <si>
    <t>2nd IE s/p medical Tx.</t>
    <phoneticPr fontId="2" type="noConversion"/>
  </si>
  <si>
    <t>Gentamicin + vancomycin + Amphotericin B</t>
    <phoneticPr fontId="2" type="noConversion"/>
  </si>
  <si>
    <t>Myocardial abscess excision</t>
    <phoneticPr fontId="2" type="noConversion"/>
  </si>
  <si>
    <t>Carpentier-Edward tissue valve 31mm</t>
    <phoneticPr fontId="2" type="noConversion"/>
  </si>
  <si>
    <t>PVF</t>
    <phoneticPr fontId="2" type="noConversion"/>
  </si>
  <si>
    <t>HCC s/p TAE#6</t>
    <phoneticPr fontId="2" type="noConversion"/>
  </si>
  <si>
    <t>Streptococcus intermedius</t>
  </si>
  <si>
    <t>Streptococcus intermedius</t>
    <phoneticPr fontId="2" type="noConversion"/>
  </si>
  <si>
    <t>TAP with DeVega method</t>
    <phoneticPr fontId="2" type="noConversion"/>
  </si>
  <si>
    <t>HCC</t>
    <phoneticPr fontId="2" type="noConversion"/>
  </si>
  <si>
    <t>ATS 29mm</t>
    <phoneticPr fontId="2" type="noConversion"/>
  </si>
  <si>
    <t>St. Jude mechanical valve 27mm</t>
    <phoneticPr fontId="2" type="noConversion"/>
  </si>
  <si>
    <t>NOT MV IE</t>
    <phoneticPr fontId="2" type="noConversion"/>
  </si>
  <si>
    <t>MS s/p PMV (1990)</t>
    <phoneticPr fontId="2" type="noConversion"/>
  </si>
  <si>
    <t>Streptococcus agalactiae</t>
    <phoneticPr fontId="2" type="noConversion"/>
  </si>
  <si>
    <t>Penicillin + Amikacin</t>
    <phoneticPr fontId="2" type="noConversion"/>
  </si>
  <si>
    <t>Cervical ca. s/p Op. &amp; Rt. (1997)</t>
    <phoneticPr fontId="2" type="noConversion"/>
  </si>
  <si>
    <t>Streptococcus viridans</t>
    <phoneticPr fontId="2" type="noConversion"/>
  </si>
  <si>
    <t>ATS 27mm</t>
    <phoneticPr fontId="2" type="noConversion"/>
  </si>
  <si>
    <t>Carpentier Edward tissue valve 27mm</t>
    <phoneticPr fontId="2" type="noConversion"/>
  </si>
  <si>
    <t>PDA s/p PDA closure (1974)</t>
    <phoneticPr fontId="2" type="noConversion"/>
  </si>
  <si>
    <t>Streptococcus mitis</t>
  </si>
  <si>
    <t>severe</t>
    <phoneticPr fontId="2" type="noConversion"/>
  </si>
  <si>
    <t>mild</t>
    <phoneticPr fontId="2" type="noConversion"/>
  </si>
  <si>
    <t>MSSA</t>
    <phoneticPr fontId="2" type="noConversion"/>
  </si>
  <si>
    <t>Ceftriaxone + Gentamicin</t>
    <phoneticPr fontId="2" type="noConversion"/>
  </si>
  <si>
    <t>ATS 29mm</t>
    <phoneticPr fontId="2" type="noConversion"/>
  </si>
  <si>
    <t xml:space="preserve">Escherichia coli </t>
  </si>
  <si>
    <t>popliteal</t>
    <phoneticPr fontId="2" type="noConversion"/>
  </si>
  <si>
    <t>Vancomycin + Gentamicin</t>
    <phoneticPr fontId="2" type="noConversion"/>
  </si>
  <si>
    <t>(NG)</t>
    <phoneticPr fontId="2" type="noConversion"/>
  </si>
  <si>
    <t>PMH</t>
    <phoneticPr fontId="2" type="noConversion"/>
  </si>
  <si>
    <t>Malignancy</t>
    <phoneticPr fontId="3" type="noConversion"/>
  </si>
  <si>
    <t>recon_with</t>
    <phoneticPr fontId="3" type="noConversion"/>
  </si>
  <si>
    <t>annular_recon</t>
    <phoneticPr fontId="2" type="noConversion"/>
  </si>
  <si>
    <t>autologous pericardium</t>
    <phoneticPr fontId="2" type="noConversion"/>
  </si>
  <si>
    <t>Septal myectomy</t>
    <phoneticPr fontId="2" type="noConversion"/>
  </si>
  <si>
    <t>Vegetation removal of MV and  LV basal inferior wall
LV wall reconstruction with bovine pericardial patch
PFO primary closure</t>
    <phoneticPr fontId="2" type="noConversion"/>
  </si>
  <si>
    <t>PFO primary closure
conventional pericardiectomy</t>
    <phoneticPr fontId="2" type="noConversion"/>
  </si>
  <si>
    <t>SVC thrombus removal</t>
    <phoneticPr fontId="2" type="noConversion"/>
  </si>
  <si>
    <t>Permanent pacemaker insertion (VVI, 90 PPM)</t>
    <phoneticPr fontId="2" type="noConversion"/>
  </si>
  <si>
    <t>Double ligation of coronary artery fistula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</si>
</sst>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4">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s>
  <borders count="12">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
      <left/>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776">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xf numFmtId="0" fontId="18" fillId="10" borderId="11" xfId="0" applyFont="1" applyFill="1" applyBorder="1" applyAlignment="1">
      <alignment horizontal="center" vertical="center"/>
    </xf>
    <xf numFmtId="0" fontId="18" fillId="8" borderId="11" xfId="0" applyFont="1" applyFill="1" applyBorder="1" applyAlignment="1">
      <alignment horizontal="center" vertical="center"/>
    </xf>
    <xf numFmtId="0" fontId="19" fillId="10" borderId="11" xfId="0" quotePrefix="1" applyFont="1" applyFill="1" applyBorder="1" applyAlignment="1">
      <alignment horizontal="center" vertical="center"/>
    </xf>
    <xf numFmtId="0" fontId="19" fillId="8" borderId="11" xfId="0" quotePrefix="1" applyFont="1" applyFill="1" applyBorder="1" applyAlignment="1">
      <alignment horizontal="center" vertical="center"/>
    </xf>
    <xf numFmtId="0" fontId="19" fillId="5" borderId="11" xfId="0" quotePrefix="1" applyFont="1" applyFill="1" applyBorder="1" applyAlignment="1">
      <alignment horizontal="center" vertical="center"/>
    </xf>
    <xf numFmtId="0" fontId="19" fillId="11" borderId="11" xfId="0" quotePrefix="1" applyFont="1" applyFill="1" applyBorder="1" applyAlignment="1">
      <alignment horizontal="center" vertical="center"/>
    </xf>
    <xf numFmtId="0" fontId="20" fillId="10" borderId="11" xfId="0" quotePrefix="1" applyFont="1" applyFill="1" applyBorder="1" applyAlignment="1">
      <alignment horizontal="center" vertical="center"/>
    </xf>
    <xf numFmtId="0" fontId="19" fillId="12" borderId="11" xfId="0" quotePrefix="1" applyFont="1" applyFill="1" applyBorder="1" applyAlignment="1">
      <alignment horizontal="center" vertical="center"/>
    </xf>
    <xf numFmtId="0" fontId="19" fillId="8" borderId="0" xfId="0" quotePrefix="1" applyFont="1" applyFill="1" applyBorder="1" applyAlignment="1">
      <alignment horizontal="center" vertical="center"/>
    </xf>
    <xf numFmtId="0" fontId="19" fillId="12" borderId="0" xfId="0" quotePrefix="1" applyFont="1" applyFill="1" applyBorder="1" applyAlignment="1">
      <alignment horizontal="center" vertical="center"/>
    </xf>
    <xf numFmtId="0" fontId="18" fillId="0" borderId="0" xfId="0" applyFont="1" applyFill="1" applyBorder="1" applyAlignment="1">
      <alignment horizontal="center" vertical="center"/>
    </xf>
    <xf numFmtId="0" fontId="18" fillId="0" borderId="0" xfId="0" applyFont="1" applyBorder="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첨부파일 2" xfId="20" xr:uid="{00000000-0005-0000-0000-000015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I334"/>
  <sheetViews>
    <sheetView tabSelected="1" zoomScaleNormal="100" workbookViewId="0">
      <pane xSplit="5" ySplit="2" topLeftCell="AX3" activePane="bottomRight" state="frozen"/>
      <selection pane="topRight" activeCell="F1" sqref="F1"/>
      <selection pane="bottomLeft" activeCell="A3" sqref="A3"/>
      <selection pane="bottomRight" activeCell="BI4" sqref="BI4"/>
    </sheetView>
  </sheetViews>
  <sheetFormatPr baseColWidth="10" defaultColWidth="9" defaultRowHeight="39.75" customHeight="1"/>
  <cols>
    <col min="1" max="1" width="9.1640625" style="49" bestFit="1" customWidth="1"/>
    <col min="2" max="2" width="11.1640625" style="49" bestFit="1" customWidth="1"/>
    <col min="3" max="3" width="16.83203125" style="49" bestFit="1" customWidth="1"/>
    <col min="4" max="4" width="9.5" style="49" bestFit="1" customWidth="1"/>
    <col min="5" max="5" width="9" style="49"/>
    <col min="6" max="6" width="9.1640625" style="49" bestFit="1" customWidth="1"/>
    <col min="7" max="8" width="9" style="49"/>
    <col min="9" max="9" width="11.1640625" style="49" bestFit="1" customWidth="1"/>
    <col min="10" max="11" width="9.1640625" style="49" bestFit="1" customWidth="1"/>
    <col min="12" max="12" width="9" style="49"/>
    <col min="13" max="13" width="60" style="189" customWidth="1"/>
    <col min="14" max="16" width="9.1640625" style="49" bestFit="1" customWidth="1"/>
    <col min="17" max="17" width="11.1640625" style="49" bestFit="1" customWidth="1"/>
    <col min="18" max="24" width="9.1640625" style="49" bestFit="1" customWidth="1"/>
    <col min="25" max="25" width="9.1640625" style="218" bestFit="1" customWidth="1"/>
    <col min="26" max="35" width="9.1640625" style="179" bestFit="1" customWidth="1"/>
    <col min="36" max="36" width="9.1640625" style="179" customWidth="1"/>
    <col min="37" max="37" width="9.1640625" style="179" bestFit="1" customWidth="1"/>
    <col min="38" max="38" width="11.6640625" style="209" customWidth="1"/>
    <col min="39" max="39" width="11.1640625" style="178" bestFit="1" customWidth="1"/>
    <col min="40" max="40" width="12.1640625" style="49" customWidth="1"/>
    <col min="41" max="41" width="11.1640625" style="178" bestFit="1" customWidth="1"/>
    <col min="42" max="42" width="11.1640625" style="49" bestFit="1" customWidth="1"/>
    <col min="43" max="43" width="11.1640625" style="350" bestFit="1" customWidth="1"/>
    <col min="44" max="45" width="9.1640625" style="49" bestFit="1" customWidth="1"/>
    <col min="46" max="46" width="9.1640625" style="179" bestFit="1" customWidth="1"/>
    <col min="47" max="49" width="9.1640625" style="49" bestFit="1" customWidth="1"/>
    <col min="50" max="50" width="11.6640625" style="49" customWidth="1"/>
    <col min="51" max="57" width="9.1640625" style="49" bestFit="1" customWidth="1"/>
    <col min="58" max="58" width="9.1640625" style="218" bestFit="1" customWidth="1"/>
    <col min="59" max="60" width="9.1640625" style="775" customWidth="1"/>
    <col min="61" max="63" width="9.1640625" style="49" bestFit="1" customWidth="1"/>
    <col min="64" max="64" width="9" style="49"/>
    <col min="65" max="65" width="9.1640625" style="49" bestFit="1" customWidth="1"/>
    <col min="66" max="66" width="11" style="49" customWidth="1"/>
    <col min="67" max="70" width="9.1640625" style="49" bestFit="1" customWidth="1"/>
    <col min="71" max="71" width="9.1640625" style="218" bestFit="1" customWidth="1"/>
    <col min="72" max="72" width="9.1640625" style="49" bestFit="1" customWidth="1"/>
    <col min="73" max="73" width="9" style="49"/>
    <col min="74" max="75" width="9.33203125" style="49" bestFit="1" customWidth="1"/>
    <col min="76" max="76" width="11.1640625" style="49" bestFit="1" customWidth="1"/>
    <col min="77" max="78" width="9" style="49"/>
    <col min="79" max="82" width="9.1640625" style="49" bestFit="1" customWidth="1"/>
    <col min="83" max="83" width="9" style="49"/>
    <col min="84" max="84" width="9.1640625" style="49" bestFit="1" customWidth="1"/>
    <col min="85" max="85" width="9" style="49"/>
    <col min="86" max="86" width="9.1640625" style="49" bestFit="1" customWidth="1"/>
    <col min="87" max="87" width="9" style="49"/>
    <col min="88" max="89" width="9.1640625" style="49" bestFit="1" customWidth="1"/>
    <col min="90" max="90" width="9" style="49"/>
    <col min="91" max="93" width="9.1640625" style="49" bestFit="1" customWidth="1"/>
    <col min="94" max="95" width="9.1640625" style="508" bestFit="1" customWidth="1"/>
    <col min="96" max="97" width="11.1640625" style="49" bestFit="1" customWidth="1"/>
    <col min="98" max="98" width="9.1640625" style="49" bestFit="1" customWidth="1"/>
    <col min="99" max="99" width="12.5" style="178" customWidth="1"/>
    <col min="100" max="100" width="9.1640625" style="179" bestFit="1" customWidth="1"/>
    <col min="101" max="101" width="11.1640625" style="49" bestFit="1" customWidth="1"/>
    <col min="102" max="103" width="11.1640625" style="179" bestFit="1" customWidth="1"/>
    <col min="104" max="104" width="9.1640625" style="179" bestFit="1" customWidth="1"/>
    <col min="105" max="105" width="9" style="49"/>
    <col min="106" max="106" width="9.1640625" style="179" bestFit="1" customWidth="1"/>
    <col min="107" max="107" width="11.1640625" style="49" bestFit="1" customWidth="1"/>
    <col min="108" max="108" width="9.1640625" style="179" bestFit="1" customWidth="1"/>
    <col min="109" max="109" width="11.1640625" style="49" bestFit="1" customWidth="1"/>
    <col min="110" max="110" width="9.1640625" style="179" bestFit="1" customWidth="1"/>
    <col min="111" max="111" width="11.1640625" style="49" bestFit="1" customWidth="1"/>
    <col min="112" max="113" width="9" style="49"/>
    <col min="114" max="117" width="9.1640625" style="49" bestFit="1" customWidth="1"/>
    <col min="118" max="118" width="11.1640625" style="49" bestFit="1" customWidth="1"/>
    <col min="119" max="125" width="9" style="49"/>
    <col min="126" max="126" width="9.1640625" style="49" bestFit="1" customWidth="1"/>
    <col min="127" max="127" width="11.1640625" style="49" bestFit="1" customWidth="1"/>
    <col min="128" max="16384" width="9" style="49"/>
  </cols>
  <sheetData>
    <row r="1" spans="1:139" customFormat="1" ht="18">
      <c r="A1" t="s">
        <v>0</v>
      </c>
      <c r="B1" t="s">
        <v>0</v>
      </c>
      <c r="C1" t="s">
        <v>0</v>
      </c>
      <c r="D1" t="s">
        <v>0</v>
      </c>
      <c r="E1" t="s">
        <v>0</v>
      </c>
      <c r="F1" t="s">
        <v>0</v>
      </c>
      <c r="G1" t="s">
        <v>1485</v>
      </c>
      <c r="H1" t="s">
        <v>0</v>
      </c>
      <c r="I1" t="s">
        <v>0</v>
      </c>
      <c r="J1" t="s">
        <v>0</v>
      </c>
      <c r="K1" t="s">
        <v>0</v>
      </c>
      <c r="L1" t="s">
        <v>0</v>
      </c>
      <c r="M1" s="185" t="s">
        <v>0</v>
      </c>
      <c r="N1" s="35" t="s">
        <v>1</v>
      </c>
      <c r="O1" s="35" t="s">
        <v>1</v>
      </c>
      <c r="P1" s="35" t="s">
        <v>1</v>
      </c>
      <c r="Q1" s="1" t="s">
        <v>2</v>
      </c>
      <c r="R1" s="36" t="s">
        <v>3</v>
      </c>
      <c r="S1" s="36" t="s">
        <v>3</v>
      </c>
      <c r="T1" s="36" t="s">
        <v>3</v>
      </c>
      <c r="U1" s="36" t="s">
        <v>3</v>
      </c>
      <c r="V1" s="36" t="s">
        <v>3</v>
      </c>
      <c r="W1" s="36" t="s">
        <v>3</v>
      </c>
      <c r="X1" s="36" t="s">
        <v>3</v>
      </c>
      <c r="Y1" s="213" t="s">
        <v>3</v>
      </c>
      <c r="Z1" s="35" t="s">
        <v>4</v>
      </c>
      <c r="AA1" s="35" t="s">
        <v>4</v>
      </c>
      <c r="AB1" s="35" t="s">
        <v>4</v>
      </c>
      <c r="AC1" s="35" t="s">
        <v>4</v>
      </c>
      <c r="AD1" s="35" t="s">
        <v>4</v>
      </c>
      <c r="AE1" s="35" t="s">
        <v>4</v>
      </c>
      <c r="AF1" s="35" t="s">
        <v>4</v>
      </c>
      <c r="AG1" s="35" t="s">
        <v>4</v>
      </c>
      <c r="AH1" s="35" t="s">
        <v>4</v>
      </c>
      <c r="AI1" s="35" t="s">
        <v>4</v>
      </c>
      <c r="AJ1" s="35" t="s">
        <v>2188</v>
      </c>
      <c r="AK1" s="35" t="s">
        <v>4</v>
      </c>
      <c r="AL1" s="207" t="s">
        <v>4</v>
      </c>
      <c r="AM1" s="39" t="s">
        <v>1460</v>
      </c>
      <c r="AN1" s="219" t="s">
        <v>1460</v>
      </c>
      <c r="AO1" s="39" t="s">
        <v>13</v>
      </c>
      <c r="AP1" s="220" t="s">
        <v>5</v>
      </c>
      <c r="AQ1" s="39" t="s">
        <v>5</v>
      </c>
      <c r="AR1" s="2" t="s">
        <v>5</v>
      </c>
      <c r="AS1" s="2" t="s">
        <v>5</v>
      </c>
      <c r="AT1" s="321" t="s">
        <v>4</v>
      </c>
      <c r="AU1" s="4" t="s">
        <v>6</v>
      </c>
      <c r="AV1" s="4" t="s">
        <v>6</v>
      </c>
      <c r="AW1" s="4" t="s">
        <v>6</v>
      </c>
      <c r="AX1" s="4" t="s">
        <v>11</v>
      </c>
      <c r="AY1" s="5" t="s">
        <v>7</v>
      </c>
      <c r="AZ1" s="5" t="s">
        <v>7</v>
      </c>
      <c r="BA1" s="5" t="s">
        <v>7</v>
      </c>
      <c r="BB1" s="5" t="s">
        <v>7</v>
      </c>
      <c r="BC1" s="5" t="s">
        <v>7</v>
      </c>
      <c r="BD1" s="5" t="s">
        <v>7</v>
      </c>
      <c r="BE1" s="5" t="s">
        <v>7</v>
      </c>
      <c r="BF1" s="231" t="s">
        <v>7</v>
      </c>
      <c r="BG1" s="5" t="s">
        <v>7</v>
      </c>
      <c r="BH1" s="5" t="s">
        <v>7</v>
      </c>
      <c r="BI1" s="5" t="s">
        <v>7</v>
      </c>
      <c r="BJ1" s="5" t="s">
        <v>1465</v>
      </c>
      <c r="BK1" s="5" t="s">
        <v>7</v>
      </c>
      <c r="BL1" s="5" t="s">
        <v>1465</v>
      </c>
      <c r="BM1" s="5" t="s">
        <v>7</v>
      </c>
      <c r="BN1" s="5" t="s">
        <v>7</v>
      </c>
      <c r="BO1" s="5" t="s">
        <v>7</v>
      </c>
      <c r="BP1" s="5" t="s">
        <v>7</v>
      </c>
      <c r="BQ1" s="5" t="s">
        <v>7</v>
      </c>
      <c r="BR1" s="5" t="s">
        <v>7</v>
      </c>
      <c r="BS1" s="231" t="s">
        <v>7</v>
      </c>
      <c r="BT1" s="5" t="s">
        <v>7</v>
      </c>
      <c r="BU1" s="5" t="s">
        <v>1465</v>
      </c>
      <c r="BV1" s="6" t="s">
        <v>8</v>
      </c>
      <c r="BW1" s="6" t="s">
        <v>8</v>
      </c>
      <c r="BX1" s="6" t="s">
        <v>8</v>
      </c>
      <c r="BY1" s="6" t="s">
        <v>8</v>
      </c>
      <c r="BZ1" s="6" t="s">
        <v>8</v>
      </c>
      <c r="CA1" s="6" t="s">
        <v>8</v>
      </c>
      <c r="CB1" s="7" t="s">
        <v>9</v>
      </c>
      <c r="CC1" s="7" t="s">
        <v>9</v>
      </c>
      <c r="CD1" s="7" t="s">
        <v>9</v>
      </c>
      <c r="CE1" s="7" t="s">
        <v>9</v>
      </c>
      <c r="CF1" s="7" t="s">
        <v>9</v>
      </c>
      <c r="CG1" s="8" t="s">
        <v>9</v>
      </c>
      <c r="CH1" s="3" t="s">
        <v>10</v>
      </c>
      <c r="CI1" s="3"/>
      <c r="CJ1" s="3" t="s">
        <v>10</v>
      </c>
      <c r="CK1" s="3" t="s">
        <v>10</v>
      </c>
      <c r="CL1" s="3" t="s">
        <v>10</v>
      </c>
      <c r="CM1" s="4" t="s">
        <v>1457</v>
      </c>
      <c r="CN1" s="4" t="s">
        <v>1457</v>
      </c>
      <c r="CO1" s="4" t="s">
        <v>1457</v>
      </c>
      <c r="CP1" s="4" t="s">
        <v>1457</v>
      </c>
      <c r="CQ1" s="4" t="s">
        <v>1457</v>
      </c>
      <c r="CR1" s="9" t="s">
        <v>0</v>
      </c>
      <c r="CS1" s="9" t="s">
        <v>12</v>
      </c>
      <c r="CT1" s="4" t="s">
        <v>12</v>
      </c>
      <c r="CU1" s="10" t="s">
        <v>1515</v>
      </c>
      <c r="CV1" s="40" t="s">
        <v>14</v>
      </c>
      <c r="CW1" s="11" t="s">
        <v>14</v>
      </c>
      <c r="CX1" s="40" t="s">
        <v>14</v>
      </c>
      <c r="CY1" s="40" t="s">
        <v>14</v>
      </c>
      <c r="CZ1" s="40" t="s">
        <v>14</v>
      </c>
      <c r="DA1" s="11" t="s">
        <v>14</v>
      </c>
      <c r="DB1" s="42" t="s">
        <v>15</v>
      </c>
      <c r="DC1" s="12" t="s">
        <v>15</v>
      </c>
      <c r="DD1" s="42" t="s">
        <v>15</v>
      </c>
      <c r="DE1" s="12" t="s">
        <v>15</v>
      </c>
      <c r="DF1" s="40" t="s">
        <v>16</v>
      </c>
      <c r="DG1" s="11" t="s">
        <v>16</v>
      </c>
      <c r="DH1" s="14" t="s">
        <v>0</v>
      </c>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row>
    <row r="2" spans="1:139" customFormat="1" ht="17">
      <c r="A2" s="15" t="s">
        <v>17</v>
      </c>
      <c r="B2" s="15" t="s">
        <v>18</v>
      </c>
      <c r="C2" t="s">
        <v>1450</v>
      </c>
      <c r="D2" s="16" t="s">
        <v>19</v>
      </c>
      <c r="E2" s="16" t="s">
        <v>20</v>
      </c>
      <c r="F2" s="16" t="s">
        <v>21</v>
      </c>
      <c r="G2" s="16" t="s">
        <v>1486</v>
      </c>
      <c r="H2" s="16" t="s">
        <v>22</v>
      </c>
      <c r="I2" s="16" t="s">
        <v>23</v>
      </c>
      <c r="J2" s="17" t="s">
        <v>24</v>
      </c>
      <c r="K2" s="18" t="s">
        <v>25</v>
      </c>
      <c r="L2" s="16" t="s">
        <v>26</v>
      </c>
      <c r="M2" s="190" t="s">
        <v>27</v>
      </c>
      <c r="N2" s="35" t="s">
        <v>28</v>
      </c>
      <c r="O2" s="35" t="s">
        <v>29</v>
      </c>
      <c r="P2" s="35" t="s">
        <v>1459</v>
      </c>
      <c r="Q2" s="19" t="s">
        <v>30</v>
      </c>
      <c r="R2" s="37" t="s">
        <v>1456</v>
      </c>
      <c r="S2" s="37" t="s">
        <v>1452</v>
      </c>
      <c r="T2" s="37" t="s">
        <v>1454</v>
      </c>
      <c r="U2" s="37" t="s">
        <v>1455</v>
      </c>
      <c r="V2" s="37" t="s">
        <v>31</v>
      </c>
      <c r="W2" s="37" t="s">
        <v>32</v>
      </c>
      <c r="X2" s="37" t="s">
        <v>1451</v>
      </c>
      <c r="Y2" s="214" t="s">
        <v>1453</v>
      </c>
      <c r="Z2" s="334" t="s">
        <v>33</v>
      </c>
      <c r="AA2" s="334" t="s">
        <v>34</v>
      </c>
      <c r="AB2" s="334" t="s">
        <v>35</v>
      </c>
      <c r="AC2" s="334" t="s">
        <v>36</v>
      </c>
      <c r="AD2" s="334" t="s">
        <v>39</v>
      </c>
      <c r="AE2" s="334" t="s">
        <v>40</v>
      </c>
      <c r="AF2" s="334" t="s">
        <v>41</v>
      </c>
      <c r="AG2" s="334" t="s">
        <v>42</v>
      </c>
      <c r="AH2" s="334" t="s">
        <v>43</v>
      </c>
      <c r="AI2" s="334" t="s">
        <v>38</v>
      </c>
      <c r="AJ2" s="334" t="s">
        <v>2189</v>
      </c>
      <c r="AK2" s="35" t="s">
        <v>37</v>
      </c>
      <c r="AL2" s="207" t="s">
        <v>44</v>
      </c>
      <c r="AM2" s="39" t="s">
        <v>1492</v>
      </c>
      <c r="AN2" s="219" t="s">
        <v>1461</v>
      </c>
      <c r="AO2" s="45" t="s">
        <v>78</v>
      </c>
      <c r="AP2" s="220" t="s">
        <v>45</v>
      </c>
      <c r="AQ2" s="39" t="s">
        <v>1504</v>
      </c>
      <c r="AR2" s="20" t="s">
        <v>46</v>
      </c>
      <c r="AS2" s="2" t="s">
        <v>44</v>
      </c>
      <c r="AT2" s="322" t="s">
        <v>47</v>
      </c>
      <c r="AU2" s="22" t="s">
        <v>48</v>
      </c>
      <c r="AV2" s="22" t="s">
        <v>49</v>
      </c>
      <c r="AW2" s="22" t="s">
        <v>50</v>
      </c>
      <c r="AX2" s="16" t="s">
        <v>74</v>
      </c>
      <c r="AY2" s="25" t="s">
        <v>60</v>
      </c>
      <c r="AZ2" s="25" t="s">
        <v>61</v>
      </c>
      <c r="BA2" s="23" t="s">
        <v>1474</v>
      </c>
      <c r="BB2" s="23" t="s">
        <v>55</v>
      </c>
      <c r="BC2" s="24" t="s">
        <v>56</v>
      </c>
      <c r="BD2" s="23" t="s">
        <v>57</v>
      </c>
      <c r="BE2" s="23" t="s">
        <v>58</v>
      </c>
      <c r="BF2" s="23" t="s">
        <v>59</v>
      </c>
      <c r="BG2" s="221" t="s">
        <v>2191</v>
      </c>
      <c r="BH2" s="24" t="s">
        <v>2190</v>
      </c>
      <c r="BI2" s="221" t="s">
        <v>62</v>
      </c>
      <c r="BJ2" s="24" t="s">
        <v>1467</v>
      </c>
      <c r="BK2" s="23" t="s">
        <v>63</v>
      </c>
      <c r="BL2" s="24" t="s">
        <v>1466</v>
      </c>
      <c r="BM2" s="23" t="s">
        <v>64</v>
      </c>
      <c r="BN2" s="24" t="s">
        <v>1496</v>
      </c>
      <c r="BO2" s="23" t="s">
        <v>1469</v>
      </c>
      <c r="BP2" s="23" t="s">
        <v>1470</v>
      </c>
      <c r="BQ2" s="23" t="s">
        <v>1016</v>
      </c>
      <c r="BR2" s="23" t="s">
        <v>1471</v>
      </c>
      <c r="BS2" s="23" t="s">
        <v>1472</v>
      </c>
      <c r="BT2" s="221" t="s">
        <v>65</v>
      </c>
      <c r="BU2" s="24" t="s">
        <v>1468</v>
      </c>
      <c r="BV2" s="26" t="s">
        <v>1475</v>
      </c>
      <c r="BW2" s="26" t="s">
        <v>1476</v>
      </c>
      <c r="BX2" s="26" t="s">
        <v>66</v>
      </c>
      <c r="BY2" s="27" t="s">
        <v>67</v>
      </c>
      <c r="BZ2" s="27" t="s">
        <v>68</v>
      </c>
      <c r="CA2" s="27" t="s">
        <v>1479</v>
      </c>
      <c r="CB2" s="28" t="s">
        <v>1477</v>
      </c>
      <c r="CC2" s="28" t="s">
        <v>1478</v>
      </c>
      <c r="CD2" s="28" t="s">
        <v>55</v>
      </c>
      <c r="CE2" s="25" t="s">
        <v>69</v>
      </c>
      <c r="CF2" s="25" t="s">
        <v>70</v>
      </c>
      <c r="CG2" s="25" t="s">
        <v>1479</v>
      </c>
      <c r="CH2" s="44" t="s">
        <v>1512</v>
      </c>
      <c r="CI2" s="21" t="s">
        <v>1511</v>
      </c>
      <c r="CJ2" s="44" t="s">
        <v>71</v>
      </c>
      <c r="CK2" s="44" t="s">
        <v>72</v>
      </c>
      <c r="CL2" s="44" t="s">
        <v>73</v>
      </c>
      <c r="CM2" s="4" t="s">
        <v>51</v>
      </c>
      <c r="CN2" s="4" t="s">
        <v>52</v>
      </c>
      <c r="CO2" s="4" t="s">
        <v>1458</v>
      </c>
      <c r="CP2" s="4" t="s">
        <v>53</v>
      </c>
      <c r="CQ2" s="4" t="s">
        <v>54</v>
      </c>
      <c r="CR2" s="29" t="s">
        <v>75</v>
      </c>
      <c r="CS2" s="29" t="s">
        <v>76</v>
      </c>
      <c r="CT2" s="30" t="s">
        <v>77</v>
      </c>
      <c r="CU2" s="46" t="s">
        <v>1516</v>
      </c>
      <c r="CV2" s="41" t="s">
        <v>79</v>
      </c>
      <c r="CW2" s="31" t="s">
        <v>80</v>
      </c>
      <c r="CX2" s="41" t="s">
        <v>81</v>
      </c>
      <c r="CY2" s="41" t="s">
        <v>82</v>
      </c>
      <c r="CZ2" s="41" t="s">
        <v>83</v>
      </c>
      <c r="DA2" s="31" t="s">
        <v>84</v>
      </c>
      <c r="DB2" s="43" t="s">
        <v>85</v>
      </c>
      <c r="DC2" s="32" t="s">
        <v>86</v>
      </c>
      <c r="DD2" s="43" t="s">
        <v>87</v>
      </c>
      <c r="DE2" s="32" t="s">
        <v>88</v>
      </c>
      <c r="DF2" s="41" t="s">
        <v>87</v>
      </c>
      <c r="DG2" s="31" t="s">
        <v>88</v>
      </c>
      <c r="DH2" s="33" t="s">
        <v>44</v>
      </c>
      <c r="DI2" s="30" t="s">
        <v>89</v>
      </c>
      <c r="DJ2" s="16" t="s">
        <v>90</v>
      </c>
      <c r="DK2" s="16" t="s">
        <v>91</v>
      </c>
      <c r="DL2" s="16" t="s">
        <v>92</v>
      </c>
      <c r="DM2" s="16" t="s">
        <v>93</v>
      </c>
      <c r="DN2" s="16" t="s">
        <v>94</v>
      </c>
      <c r="DO2" s="16" t="s">
        <v>95</v>
      </c>
      <c r="DP2" s="16" t="s">
        <v>96</v>
      </c>
      <c r="DQ2" s="16" t="s">
        <v>97</v>
      </c>
      <c r="DR2" s="16" t="s">
        <v>98</v>
      </c>
      <c r="DS2" s="16" t="s">
        <v>99</v>
      </c>
      <c r="DT2" s="16" t="s">
        <v>100</v>
      </c>
      <c r="DU2" s="34" t="s">
        <v>101</v>
      </c>
      <c r="DV2" s="34"/>
      <c r="DW2" s="34" t="s">
        <v>102</v>
      </c>
      <c r="DX2" s="34" t="s">
        <v>103</v>
      </c>
      <c r="DY2" s="34" t="s">
        <v>104</v>
      </c>
      <c r="DZ2" s="34" t="s">
        <v>102</v>
      </c>
      <c r="EA2" s="34" t="s">
        <v>103</v>
      </c>
      <c r="EB2" s="34" t="s">
        <v>104</v>
      </c>
      <c r="EC2" s="34" t="s">
        <v>105</v>
      </c>
      <c r="ED2" s="34" t="s">
        <v>106</v>
      </c>
      <c r="EE2" s="34" t="s">
        <v>107</v>
      </c>
      <c r="EF2" s="34" t="s">
        <v>108</v>
      </c>
      <c r="EG2" s="34" t="s">
        <v>109</v>
      </c>
      <c r="EH2" s="34" t="s">
        <v>110</v>
      </c>
      <c r="EI2" s="34" t="s">
        <v>111</v>
      </c>
    </row>
    <row r="3" spans="1:139" s="47" customFormat="1" ht="39.75" customHeight="1">
      <c r="A3" s="50">
        <v>4</v>
      </c>
      <c r="B3" s="54">
        <v>43987</v>
      </c>
      <c r="C3" s="55">
        <v>43987.673611111109</v>
      </c>
      <c r="D3" s="56">
        <v>9875844</v>
      </c>
      <c r="E3" s="50" t="s">
        <v>112</v>
      </c>
      <c r="F3" s="47" t="b">
        <v>1</v>
      </c>
      <c r="H3" s="50" t="s">
        <v>113</v>
      </c>
      <c r="I3" s="54">
        <v>25039</v>
      </c>
      <c r="J3" s="57">
        <v>51.912328767123284</v>
      </c>
      <c r="K3" s="57">
        <v>623.28947368421052</v>
      </c>
      <c r="L3" s="50" t="s">
        <v>114</v>
      </c>
      <c r="M3" s="186" t="s">
        <v>115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v>0</v>
      </c>
      <c r="AK3" s="323">
        <f t="shared" ref="AK3:AK66" si="0">IF(P3&gt;25,1,0)</f>
        <v>0</v>
      </c>
      <c r="AL3" s="186"/>
      <c r="AM3" s="58">
        <v>43971</v>
      </c>
      <c r="AN3" s="52" t="s">
        <v>1463</v>
      </c>
      <c r="AO3" s="54">
        <v>44015</v>
      </c>
      <c r="AP3" s="50" t="s">
        <v>1462</v>
      </c>
      <c r="AQ3" s="58">
        <v>43971</v>
      </c>
      <c r="AR3" s="52">
        <v>0</v>
      </c>
      <c r="AS3" s="52"/>
      <c r="AT3" s="323">
        <v>0</v>
      </c>
      <c r="AU3" s="52">
        <v>1</v>
      </c>
      <c r="AV3" s="52">
        <v>0</v>
      </c>
      <c r="AW3" s="52">
        <v>0</v>
      </c>
      <c r="AX3" s="52" t="s">
        <v>116</v>
      </c>
      <c r="AY3" s="50"/>
      <c r="AZ3" s="50" t="s">
        <v>1464</v>
      </c>
      <c r="BA3" s="47">
        <v>0</v>
      </c>
      <c r="BB3" s="50">
        <v>1</v>
      </c>
      <c r="BC3" s="50">
        <v>10</v>
      </c>
      <c r="BD3" s="50">
        <v>0</v>
      </c>
      <c r="BE3" s="50">
        <v>0</v>
      </c>
      <c r="BF3" s="232">
        <v>0</v>
      </c>
      <c r="BG3" s="764">
        <v>0</v>
      </c>
      <c r="BH3" s="764"/>
      <c r="BI3" s="212">
        <v>0</v>
      </c>
      <c r="BJ3" s="50"/>
      <c r="BK3" s="50">
        <v>0</v>
      </c>
      <c r="BL3" s="50"/>
      <c r="BM3" s="50">
        <v>0</v>
      </c>
      <c r="BN3" s="50"/>
      <c r="BO3" s="50">
        <v>0</v>
      </c>
      <c r="BP3" s="50">
        <v>0</v>
      </c>
      <c r="BQ3" s="50">
        <v>0</v>
      </c>
      <c r="BR3" s="50">
        <v>0</v>
      </c>
      <c r="BS3" s="232">
        <v>0</v>
      </c>
      <c r="BT3" s="212">
        <v>1</v>
      </c>
      <c r="BU3" s="50" t="s">
        <v>1473</v>
      </c>
      <c r="BV3" s="50">
        <v>0</v>
      </c>
      <c r="BW3" s="50">
        <v>0</v>
      </c>
      <c r="BX3" s="50">
        <v>0</v>
      </c>
      <c r="BY3" s="50"/>
      <c r="BZ3" s="50"/>
      <c r="CA3" s="50"/>
      <c r="CB3" s="50">
        <v>0</v>
      </c>
      <c r="CC3" s="50">
        <v>1</v>
      </c>
      <c r="CD3" s="50">
        <v>0</v>
      </c>
      <c r="CE3" s="50"/>
      <c r="CF3" s="50" t="s">
        <v>1481</v>
      </c>
      <c r="CG3" s="50" t="s">
        <v>1480</v>
      </c>
      <c r="CH3" s="50">
        <v>0</v>
      </c>
      <c r="CI3" s="50"/>
      <c r="CJ3" s="50">
        <v>0</v>
      </c>
      <c r="CK3" s="50">
        <v>0</v>
      </c>
      <c r="CL3" s="50">
        <v>0</v>
      </c>
      <c r="CM3" s="47">
        <v>104</v>
      </c>
      <c r="CN3" s="47">
        <v>74</v>
      </c>
      <c r="CP3" s="504">
        <v>32.200000000000003</v>
      </c>
      <c r="CQ3" s="504">
        <v>33</v>
      </c>
      <c r="CR3" s="54">
        <v>43972</v>
      </c>
      <c r="CS3" s="54">
        <v>43999</v>
      </c>
      <c r="CT3" s="50">
        <v>12</v>
      </c>
      <c r="CU3" s="54">
        <v>44180</v>
      </c>
      <c r="CV3" s="59">
        <v>0</v>
      </c>
      <c r="CW3" s="54"/>
      <c r="CX3" s="59">
        <v>0</v>
      </c>
      <c r="CY3" s="59">
        <v>0</v>
      </c>
      <c r="CZ3" s="59">
        <v>0</v>
      </c>
      <c r="DA3" s="54"/>
      <c r="DB3" s="59">
        <v>0</v>
      </c>
      <c r="DC3" s="54"/>
      <c r="DD3" s="59">
        <v>0</v>
      </c>
      <c r="DE3" s="54"/>
      <c r="DF3" s="59">
        <v>0</v>
      </c>
      <c r="DG3" s="54"/>
      <c r="DH3" s="54"/>
      <c r="DI3" s="50"/>
      <c r="DJ3" s="50"/>
      <c r="DK3" s="50"/>
      <c r="DL3" s="50"/>
      <c r="DM3" s="50"/>
      <c r="DN3" s="50"/>
      <c r="DO3" s="50"/>
      <c r="DP3" s="50"/>
      <c r="DQ3" s="50"/>
      <c r="DR3" s="50"/>
      <c r="DS3" s="50"/>
      <c r="DT3" s="50"/>
      <c r="DU3" s="50"/>
      <c r="DV3" s="50"/>
      <c r="DW3" s="50"/>
      <c r="DX3" s="50"/>
      <c r="DY3" s="50"/>
      <c r="DZ3" s="50"/>
      <c r="EA3" s="50"/>
      <c r="EB3" s="50"/>
      <c r="EC3" s="50"/>
      <c r="ED3" s="50"/>
      <c r="EE3" s="50"/>
      <c r="EF3" s="50"/>
      <c r="EG3" s="50"/>
      <c r="EH3" s="50"/>
      <c r="EI3" s="50"/>
    </row>
    <row r="4" spans="1:139" s="48" customFormat="1" ht="39.75" customHeight="1">
      <c r="A4" s="60">
        <v>5</v>
      </c>
      <c r="B4" s="61">
        <v>43986</v>
      </c>
      <c r="C4" s="62">
        <v>43986.30972222222</v>
      </c>
      <c r="D4" s="63">
        <v>18349123</v>
      </c>
      <c r="E4" s="60" t="s">
        <v>117</v>
      </c>
      <c r="F4" s="48" t="b">
        <v>0</v>
      </c>
      <c r="G4" s="48" t="s">
        <v>1487</v>
      </c>
      <c r="H4" s="60" t="s">
        <v>113</v>
      </c>
      <c r="I4" s="61">
        <v>22199</v>
      </c>
      <c r="J4" s="64">
        <v>59.69041095890411</v>
      </c>
      <c r="K4" s="64">
        <v>716.6776315789474</v>
      </c>
      <c r="L4" s="60" t="s">
        <v>114</v>
      </c>
      <c r="M4" s="187" t="s">
        <v>118</v>
      </c>
      <c r="N4" s="48">
        <v>167.6</v>
      </c>
      <c r="O4" s="48">
        <v>71.2</v>
      </c>
      <c r="P4" s="48">
        <f t="shared" ref="P4:P67" si="1">O4/(N4/100)^2</f>
        <v>25.347315178200173</v>
      </c>
      <c r="Q4" s="51"/>
      <c r="V4" s="51"/>
      <c r="Y4" s="216"/>
      <c r="Z4" s="336"/>
      <c r="AA4" s="324"/>
      <c r="AB4" s="324"/>
      <c r="AC4" s="324"/>
      <c r="AD4" s="324"/>
      <c r="AE4" s="324"/>
      <c r="AF4" s="324"/>
      <c r="AG4" s="324"/>
      <c r="AH4" s="324"/>
      <c r="AI4" s="324"/>
      <c r="AJ4" s="324"/>
      <c r="AK4" s="324">
        <f t="shared" si="0"/>
        <v>1</v>
      </c>
      <c r="AL4" s="187"/>
      <c r="AM4" s="191"/>
      <c r="AN4" s="51"/>
      <c r="AO4" s="61"/>
      <c r="AP4" s="60"/>
      <c r="AQ4" s="349"/>
      <c r="AR4" s="51"/>
      <c r="AS4" s="51"/>
      <c r="AT4" s="324"/>
      <c r="AU4" s="51"/>
      <c r="AV4" s="51"/>
      <c r="AW4" s="51"/>
      <c r="AX4" s="51" t="s">
        <v>119</v>
      </c>
      <c r="AY4" s="60"/>
      <c r="AZ4" s="60"/>
      <c r="BA4" s="48">
        <v>1</v>
      </c>
      <c r="BB4" s="60"/>
      <c r="BC4" s="60"/>
      <c r="BD4" s="60"/>
      <c r="BE4" s="60"/>
      <c r="BF4" s="233"/>
      <c r="BG4" s="765"/>
      <c r="BH4" s="765"/>
      <c r="BI4" s="222"/>
      <c r="BJ4" s="60"/>
      <c r="BK4" s="60"/>
      <c r="BL4" s="60"/>
      <c r="BM4" s="60"/>
      <c r="BN4" s="60"/>
      <c r="BO4" s="60"/>
      <c r="BP4" s="60"/>
      <c r="BQ4" s="60"/>
      <c r="BR4" s="60"/>
      <c r="BS4" s="233"/>
      <c r="BT4" s="222"/>
      <c r="BU4" s="60"/>
      <c r="BV4" s="60"/>
      <c r="BW4" s="60"/>
      <c r="BX4" s="60"/>
      <c r="BY4" s="60"/>
      <c r="BZ4" s="60"/>
      <c r="CA4" s="60"/>
      <c r="CB4" s="60"/>
      <c r="CC4" s="60"/>
      <c r="CD4" s="60"/>
      <c r="CE4" s="60"/>
      <c r="CF4" s="60"/>
      <c r="CG4" s="60"/>
      <c r="CH4" s="60"/>
      <c r="CI4" s="60"/>
      <c r="CJ4" s="60"/>
      <c r="CK4" s="60"/>
      <c r="CL4" s="60"/>
      <c r="CP4" s="505"/>
      <c r="CQ4" s="505"/>
      <c r="CR4" s="61">
        <v>43969</v>
      </c>
      <c r="CS4" s="61">
        <v>43999</v>
      </c>
      <c r="CT4" s="60">
        <v>13</v>
      </c>
      <c r="CU4" s="61"/>
      <c r="CV4" s="65"/>
      <c r="CW4" s="61"/>
      <c r="CX4" s="65"/>
      <c r="CY4" s="65"/>
      <c r="CZ4" s="65"/>
      <c r="DA4" s="61"/>
      <c r="DB4" s="65"/>
      <c r="DC4" s="61"/>
      <c r="DD4" s="65"/>
      <c r="DE4" s="61"/>
      <c r="DF4" s="65"/>
      <c r="DG4" s="61"/>
      <c r="DH4" s="61"/>
      <c r="DI4" s="60"/>
      <c r="DJ4" s="60"/>
      <c r="DK4" s="60"/>
      <c r="DL4" s="60"/>
      <c r="DM4" s="60"/>
      <c r="DN4" s="60"/>
      <c r="DO4" s="60"/>
      <c r="DP4" s="60"/>
      <c r="DQ4" s="60"/>
      <c r="DR4" s="60"/>
      <c r="DS4" s="60"/>
      <c r="DT4" s="60"/>
      <c r="DU4" s="60"/>
      <c r="DV4" s="60"/>
      <c r="DW4" s="60"/>
      <c r="DX4" s="60"/>
      <c r="DY4" s="60"/>
      <c r="DZ4" s="60"/>
      <c r="EA4" s="60"/>
      <c r="EB4" s="60"/>
      <c r="EC4" s="60"/>
      <c r="ED4" s="60"/>
      <c r="EE4" s="60"/>
      <c r="EF4" s="60"/>
      <c r="EG4" s="60"/>
      <c r="EH4" s="60"/>
      <c r="EI4" s="60"/>
    </row>
    <row r="5" spans="1:139" s="47" customFormat="1" ht="39.75" customHeight="1">
      <c r="A5" s="50">
        <v>10</v>
      </c>
      <c r="B5" s="54">
        <v>43930</v>
      </c>
      <c r="C5" s="55">
        <v>43930.309027777781</v>
      </c>
      <c r="D5" s="56">
        <v>44335769</v>
      </c>
      <c r="E5" s="50" t="s">
        <v>120</v>
      </c>
      <c r="F5" s="47" t="b">
        <v>1</v>
      </c>
      <c r="H5" s="50" t="s">
        <v>113</v>
      </c>
      <c r="I5" s="54">
        <v>27378</v>
      </c>
      <c r="J5" s="57">
        <v>45.347945205479455</v>
      </c>
      <c r="K5" s="57">
        <v>544.47368421052636</v>
      </c>
      <c r="L5" s="50" t="s">
        <v>121</v>
      </c>
      <c r="M5" s="186" t="s">
        <v>122</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v>0</v>
      </c>
      <c r="AK5" s="323">
        <f t="shared" si="0"/>
        <v>1</v>
      </c>
      <c r="AL5" s="186"/>
      <c r="AM5" s="58">
        <v>43924</v>
      </c>
      <c r="AN5" s="52" t="s">
        <v>1488</v>
      </c>
      <c r="AO5" s="54">
        <v>43972</v>
      </c>
      <c r="AP5" s="50" t="s">
        <v>1489</v>
      </c>
      <c r="AQ5" s="58">
        <v>43924</v>
      </c>
      <c r="AR5" s="52">
        <v>1</v>
      </c>
      <c r="AS5" s="52" t="s">
        <v>1490</v>
      </c>
      <c r="AT5" s="323">
        <v>0</v>
      </c>
      <c r="AU5" s="52">
        <v>0</v>
      </c>
      <c r="AV5" s="52">
        <v>0</v>
      </c>
      <c r="AW5" s="52">
        <v>1</v>
      </c>
      <c r="AX5" s="52" t="s">
        <v>123</v>
      </c>
      <c r="AY5" s="50"/>
      <c r="AZ5" s="50"/>
      <c r="BA5" s="47">
        <v>0</v>
      </c>
      <c r="BB5" s="50">
        <v>1</v>
      </c>
      <c r="BC5" s="50"/>
      <c r="BD5" s="50">
        <v>0</v>
      </c>
      <c r="BE5" s="50">
        <v>0</v>
      </c>
      <c r="BF5" s="232">
        <v>0</v>
      </c>
      <c r="BG5" s="764">
        <v>0</v>
      </c>
      <c r="BH5" s="764"/>
      <c r="BI5" s="212">
        <v>0</v>
      </c>
      <c r="BJ5" s="50"/>
      <c r="BK5" s="50">
        <v>0</v>
      </c>
      <c r="BL5" s="50"/>
      <c r="BM5" s="50">
        <v>0</v>
      </c>
      <c r="BN5" s="50"/>
      <c r="BO5" s="50">
        <v>0</v>
      </c>
      <c r="BP5" s="50">
        <v>0</v>
      </c>
      <c r="BQ5" s="50">
        <v>0</v>
      </c>
      <c r="BR5" s="50">
        <v>0</v>
      </c>
      <c r="BS5" s="232">
        <v>0</v>
      </c>
      <c r="BT5" s="212">
        <v>1</v>
      </c>
      <c r="BU5" s="50" t="s">
        <v>1491</v>
      </c>
      <c r="BV5" s="50">
        <v>0</v>
      </c>
      <c r="BW5" s="50">
        <v>0</v>
      </c>
      <c r="BX5" s="50">
        <v>0</v>
      </c>
      <c r="BY5" s="50"/>
      <c r="BZ5" s="50"/>
      <c r="CA5" s="50"/>
      <c r="CB5" s="50">
        <v>0</v>
      </c>
      <c r="CC5" s="50">
        <v>0</v>
      </c>
      <c r="CD5" s="50">
        <v>0</v>
      </c>
      <c r="CE5" s="50"/>
      <c r="CF5" s="50"/>
      <c r="CG5" s="50"/>
      <c r="CH5" s="50">
        <v>0</v>
      </c>
      <c r="CI5" s="50"/>
      <c r="CJ5" s="50">
        <v>0</v>
      </c>
      <c r="CK5" s="50">
        <v>0</v>
      </c>
      <c r="CL5" s="50">
        <v>0</v>
      </c>
      <c r="CM5" s="47">
        <v>120</v>
      </c>
      <c r="CN5" s="47">
        <v>108</v>
      </c>
      <c r="CP5" s="504">
        <v>31.7</v>
      </c>
      <c r="CQ5" s="504">
        <v>32.9</v>
      </c>
      <c r="CR5" s="54">
        <v>43928</v>
      </c>
      <c r="CS5" s="54">
        <v>43948</v>
      </c>
      <c r="CT5" s="66">
        <v>18</v>
      </c>
      <c r="CU5" s="54">
        <v>44046</v>
      </c>
      <c r="CV5" s="59">
        <v>0</v>
      </c>
      <c r="CW5" s="54"/>
      <c r="CX5" s="59">
        <v>0</v>
      </c>
      <c r="CY5" s="59">
        <v>0</v>
      </c>
      <c r="CZ5" s="59">
        <v>0</v>
      </c>
      <c r="DA5" s="54"/>
      <c r="DB5" s="59">
        <v>0</v>
      </c>
      <c r="DC5" s="54"/>
      <c r="DD5" s="59">
        <v>0</v>
      </c>
      <c r="DE5" s="54"/>
      <c r="DF5" s="59">
        <v>0</v>
      </c>
      <c r="DG5" s="54"/>
      <c r="DH5" s="54"/>
      <c r="DI5" s="50"/>
      <c r="DJ5" s="50"/>
      <c r="DK5" s="50"/>
      <c r="DL5" s="50"/>
      <c r="DM5" s="50"/>
      <c r="DN5" s="50"/>
      <c r="DO5" s="50"/>
      <c r="DP5" s="50"/>
      <c r="DQ5" s="50"/>
      <c r="DR5" s="50"/>
      <c r="DS5" s="50"/>
      <c r="DT5" s="50"/>
      <c r="DU5" s="50"/>
      <c r="DV5" s="50"/>
      <c r="DW5" s="50"/>
      <c r="DX5" s="50"/>
      <c r="DY5" s="50"/>
      <c r="DZ5" s="50"/>
      <c r="EA5" s="50"/>
      <c r="EB5" s="50"/>
      <c r="EC5" s="50"/>
      <c r="ED5" s="50"/>
      <c r="EE5" s="50"/>
      <c r="EF5" s="50"/>
      <c r="EG5" s="50"/>
      <c r="EH5" s="50"/>
      <c r="EI5" s="50"/>
    </row>
    <row r="6" spans="1:139" s="48" customFormat="1" ht="39.75" customHeight="1">
      <c r="A6" s="60">
        <v>12</v>
      </c>
      <c r="B6" s="61">
        <v>43910</v>
      </c>
      <c r="C6" s="62">
        <v>43910.565972222219</v>
      </c>
      <c r="D6" s="63">
        <v>44253180</v>
      </c>
      <c r="E6" s="60" t="s">
        <v>124</v>
      </c>
      <c r="F6" s="48" t="b">
        <v>0</v>
      </c>
      <c r="G6" s="48" t="s">
        <v>1487</v>
      </c>
      <c r="H6" s="60" t="s">
        <v>113</v>
      </c>
      <c r="I6" s="61">
        <v>18535</v>
      </c>
      <c r="J6" s="64">
        <v>69.520547945205479</v>
      </c>
      <c r="K6" s="64">
        <v>834.70394736842104</v>
      </c>
      <c r="L6" s="60" t="s">
        <v>125</v>
      </c>
      <c r="M6" s="187" t="s">
        <v>126</v>
      </c>
      <c r="N6" s="48">
        <v>165</v>
      </c>
      <c r="O6" s="48">
        <v>61.7</v>
      </c>
      <c r="P6" s="48">
        <f t="shared" si="1"/>
        <v>22.662993572084485</v>
      </c>
      <c r="Q6" s="51"/>
      <c r="V6" s="51"/>
      <c r="Y6" s="216"/>
      <c r="Z6" s="336"/>
      <c r="AA6" s="324"/>
      <c r="AB6" s="324"/>
      <c r="AC6" s="324"/>
      <c r="AD6" s="324"/>
      <c r="AE6" s="324"/>
      <c r="AF6" s="324"/>
      <c r="AG6" s="324"/>
      <c r="AH6" s="324"/>
      <c r="AI6" s="324"/>
      <c r="AJ6" s="324"/>
      <c r="AK6" s="324">
        <f t="shared" si="0"/>
        <v>0</v>
      </c>
      <c r="AL6" s="187"/>
      <c r="AM6" s="191"/>
      <c r="AN6" s="51"/>
      <c r="AO6" s="61"/>
      <c r="AP6" s="60"/>
      <c r="AQ6" s="349"/>
      <c r="AR6" s="51"/>
      <c r="AS6" s="51"/>
      <c r="AT6" s="324">
        <v>1</v>
      </c>
      <c r="AU6" s="51"/>
      <c r="AV6" s="51"/>
      <c r="AW6" s="51"/>
      <c r="AX6" s="51" t="s">
        <v>127</v>
      </c>
      <c r="AY6" s="60"/>
      <c r="AZ6" s="60"/>
      <c r="BA6" s="48">
        <v>1</v>
      </c>
      <c r="BB6" s="60"/>
      <c r="BC6" s="60"/>
      <c r="BD6" s="60"/>
      <c r="BE6" s="60"/>
      <c r="BF6" s="233"/>
      <c r="BG6" s="765"/>
      <c r="BH6" s="765"/>
      <c r="BI6" s="222"/>
      <c r="BJ6" s="60"/>
      <c r="BK6" s="60"/>
      <c r="BL6" s="60"/>
      <c r="BM6" s="60"/>
      <c r="BN6" s="60"/>
      <c r="BO6" s="60"/>
      <c r="BP6" s="60"/>
      <c r="BQ6" s="60"/>
      <c r="BR6" s="60"/>
      <c r="BS6" s="233"/>
      <c r="BT6" s="222"/>
      <c r="BU6" s="60"/>
      <c r="BV6" s="60"/>
      <c r="BW6" s="60"/>
      <c r="BX6" s="60"/>
      <c r="BY6" s="60"/>
      <c r="BZ6" s="60"/>
      <c r="CA6" s="60"/>
      <c r="CB6" s="60"/>
      <c r="CC6" s="60"/>
      <c r="CD6" s="60"/>
      <c r="CE6" s="60"/>
      <c r="CF6" s="60"/>
      <c r="CG6" s="60"/>
      <c r="CH6" s="60"/>
      <c r="CI6" s="60"/>
      <c r="CJ6" s="60"/>
      <c r="CK6" s="60"/>
      <c r="CL6" s="60"/>
      <c r="CM6" s="48">
        <v>120</v>
      </c>
      <c r="CN6" s="48">
        <v>88</v>
      </c>
      <c r="CP6" s="505">
        <v>30.2</v>
      </c>
      <c r="CQ6" s="505">
        <v>31.6</v>
      </c>
      <c r="CR6" s="61">
        <v>43908</v>
      </c>
      <c r="CS6" s="61">
        <v>43934</v>
      </c>
      <c r="CT6" s="67">
        <v>24</v>
      </c>
      <c r="CU6" s="61"/>
      <c r="CV6" s="65"/>
      <c r="CW6" s="61"/>
      <c r="CX6" s="65"/>
      <c r="CY6" s="65"/>
      <c r="CZ6" s="65"/>
      <c r="DA6" s="61"/>
      <c r="DB6" s="65"/>
      <c r="DC6" s="61"/>
      <c r="DD6" s="65"/>
      <c r="DE6" s="61"/>
      <c r="DF6" s="65"/>
      <c r="DG6" s="61"/>
      <c r="DH6" s="61"/>
      <c r="DI6" s="60"/>
      <c r="DJ6" s="60"/>
      <c r="DK6" s="60"/>
      <c r="DL6" s="60"/>
      <c r="DM6" s="60"/>
      <c r="DN6" s="60"/>
      <c r="DO6" s="60"/>
      <c r="DP6" s="60"/>
      <c r="DQ6" s="60"/>
      <c r="DR6" s="60"/>
      <c r="DS6" s="60"/>
      <c r="DT6" s="60"/>
      <c r="DU6" s="60"/>
      <c r="DV6" s="60"/>
      <c r="DW6" s="60"/>
      <c r="DX6" s="60"/>
      <c r="DY6" s="60"/>
      <c r="DZ6" s="60"/>
      <c r="EA6" s="60"/>
      <c r="EB6" s="60"/>
      <c r="EC6" s="60"/>
      <c r="ED6" s="60"/>
      <c r="EE6" s="60"/>
      <c r="EF6" s="60"/>
      <c r="EG6" s="60"/>
      <c r="EH6" s="60"/>
      <c r="EI6" s="60"/>
    </row>
    <row r="7" spans="1:139" s="47" customFormat="1" ht="39.75" customHeight="1">
      <c r="A7" s="50">
        <v>13</v>
      </c>
      <c r="B7" s="54">
        <v>43901</v>
      </c>
      <c r="C7" s="55">
        <v>43901.606944444444</v>
      </c>
      <c r="D7" s="56">
        <v>20725757</v>
      </c>
      <c r="E7" s="50" t="s">
        <v>128</v>
      </c>
      <c r="F7" s="47" t="b">
        <v>1</v>
      </c>
      <c r="H7" s="50" t="s">
        <v>129</v>
      </c>
      <c r="I7" s="54">
        <v>27961</v>
      </c>
      <c r="J7" s="57">
        <v>43.671232876712331</v>
      </c>
      <c r="K7" s="57">
        <v>524.34210526315792</v>
      </c>
      <c r="L7" s="50" t="s">
        <v>121</v>
      </c>
      <c r="M7" s="186" t="s">
        <v>130</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v>0</v>
      </c>
      <c r="AK7" s="323">
        <f t="shared" si="0"/>
        <v>0</v>
      </c>
      <c r="AL7" s="186"/>
      <c r="AM7" s="58">
        <v>43895</v>
      </c>
      <c r="AN7" s="52" t="s">
        <v>1493</v>
      </c>
      <c r="AO7" s="54">
        <v>43939</v>
      </c>
      <c r="AP7" s="50" t="s">
        <v>131</v>
      </c>
      <c r="AQ7" s="58">
        <v>43895</v>
      </c>
      <c r="AR7" s="52">
        <v>0</v>
      </c>
      <c r="AS7" s="52"/>
      <c r="AT7" s="323">
        <v>0</v>
      </c>
      <c r="AU7" s="52">
        <v>0</v>
      </c>
      <c r="AV7" s="52">
        <v>0</v>
      </c>
      <c r="AW7" s="52">
        <v>1</v>
      </c>
      <c r="AX7" s="52" t="s">
        <v>132</v>
      </c>
      <c r="AY7" s="50"/>
      <c r="AZ7" s="50" t="s">
        <v>1494</v>
      </c>
      <c r="BA7" s="47">
        <v>0</v>
      </c>
      <c r="BB7" s="50">
        <v>1</v>
      </c>
      <c r="BC7" s="69"/>
      <c r="BD7" s="50">
        <v>0</v>
      </c>
      <c r="BE7" s="50">
        <v>0</v>
      </c>
      <c r="BF7" s="232">
        <v>0</v>
      </c>
      <c r="BG7" s="764">
        <v>0</v>
      </c>
      <c r="BH7" s="764"/>
      <c r="BI7" s="212">
        <v>1</v>
      </c>
      <c r="BJ7" s="50"/>
      <c r="BK7" s="50">
        <v>1</v>
      </c>
      <c r="BL7" s="50" t="s">
        <v>1495</v>
      </c>
      <c r="BM7" s="50">
        <v>1</v>
      </c>
      <c r="BN7" s="50" t="s">
        <v>1497</v>
      </c>
      <c r="BO7" s="50">
        <v>1</v>
      </c>
      <c r="BP7" s="50">
        <v>0</v>
      </c>
      <c r="BQ7" s="50">
        <v>0</v>
      </c>
      <c r="BR7" s="50">
        <v>0</v>
      </c>
      <c r="BS7" s="232">
        <v>0</v>
      </c>
      <c r="BT7" s="212">
        <v>0</v>
      </c>
      <c r="BU7" s="50"/>
      <c r="BV7" s="50">
        <v>0</v>
      </c>
      <c r="BW7" s="50">
        <v>0</v>
      </c>
      <c r="BX7" s="50">
        <v>0</v>
      </c>
      <c r="BY7" s="50"/>
      <c r="BZ7" s="50"/>
      <c r="CA7" s="70"/>
      <c r="CB7" s="66">
        <v>0</v>
      </c>
      <c r="CC7" s="66">
        <v>0</v>
      </c>
      <c r="CD7" s="66">
        <v>0</v>
      </c>
      <c r="CE7" s="66"/>
      <c r="CF7" s="66"/>
      <c r="CG7" s="50"/>
      <c r="CH7" s="50">
        <v>0</v>
      </c>
      <c r="CI7" s="50"/>
      <c r="CJ7" s="50">
        <v>0</v>
      </c>
      <c r="CK7" s="50">
        <v>0</v>
      </c>
      <c r="CL7" s="50">
        <v>0</v>
      </c>
      <c r="CM7" s="47">
        <v>104</v>
      </c>
      <c r="CN7" s="47">
        <v>81</v>
      </c>
      <c r="CP7" s="504">
        <v>31</v>
      </c>
      <c r="CQ7" s="504">
        <v>6</v>
      </c>
      <c r="CR7" s="54">
        <v>43896</v>
      </c>
      <c r="CS7" s="54">
        <v>43916</v>
      </c>
      <c r="CT7" s="66">
        <v>15</v>
      </c>
      <c r="CU7" s="54">
        <v>44193</v>
      </c>
      <c r="CV7" s="59">
        <v>0</v>
      </c>
      <c r="CW7" s="54"/>
      <c r="CX7" s="59">
        <v>0</v>
      </c>
      <c r="CY7" s="59">
        <v>0</v>
      </c>
      <c r="CZ7" s="59">
        <v>0</v>
      </c>
      <c r="DA7" s="54"/>
      <c r="DB7" s="59">
        <v>0</v>
      </c>
      <c r="DC7" s="54"/>
      <c r="DD7" s="59">
        <v>0</v>
      </c>
      <c r="DE7" s="54"/>
      <c r="DF7" s="59">
        <v>0</v>
      </c>
      <c r="DG7" s="54"/>
      <c r="DH7" s="54"/>
      <c r="DI7" s="50"/>
      <c r="DJ7" s="50"/>
      <c r="DK7" s="50"/>
      <c r="DL7" s="50"/>
      <c r="DM7" s="50"/>
      <c r="DN7" s="50"/>
      <c r="DO7" s="50"/>
      <c r="DP7" s="50"/>
      <c r="DQ7" s="50"/>
      <c r="DR7" s="50"/>
      <c r="DS7" s="50"/>
      <c r="DT7" s="50"/>
      <c r="DU7" s="50"/>
      <c r="DV7" s="50"/>
      <c r="DW7" s="50"/>
      <c r="DX7" s="50"/>
      <c r="DY7" s="50"/>
      <c r="DZ7" s="50"/>
      <c r="EA7" s="50"/>
      <c r="EB7" s="50"/>
      <c r="EC7" s="50"/>
      <c r="ED7" s="50"/>
      <c r="EE7" s="50"/>
      <c r="EF7" s="50"/>
      <c r="EG7" s="50"/>
      <c r="EH7" s="50"/>
      <c r="EI7" s="50"/>
    </row>
    <row r="8" spans="1:139" s="48" customFormat="1" ht="39.75" customHeight="1">
      <c r="A8" s="60">
        <v>20</v>
      </c>
      <c r="B8" s="61">
        <v>43864</v>
      </c>
      <c r="C8" s="62">
        <v>43864.3125</v>
      </c>
      <c r="D8" s="63">
        <v>43989446</v>
      </c>
      <c r="E8" s="71" t="s">
        <v>133</v>
      </c>
      <c r="F8" s="48" t="b">
        <v>0</v>
      </c>
      <c r="G8" s="48" t="s">
        <v>1498</v>
      </c>
      <c r="H8" s="60" t="s">
        <v>129</v>
      </c>
      <c r="I8" s="61">
        <v>33294</v>
      </c>
      <c r="J8" s="64">
        <v>28.958904109589042</v>
      </c>
      <c r="K8" s="64">
        <v>347.69736842105266</v>
      </c>
      <c r="L8" s="60" t="s">
        <v>125</v>
      </c>
      <c r="M8" s="187" t="s">
        <v>134</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c r="AK8" s="324">
        <f t="shared" si="0"/>
        <v>0</v>
      </c>
      <c r="AL8" s="187"/>
      <c r="AM8" s="191"/>
      <c r="AN8" s="51"/>
      <c r="AO8" s="61"/>
      <c r="AP8" s="60" t="s">
        <v>135</v>
      </c>
      <c r="AQ8" s="349"/>
      <c r="AR8" s="73"/>
      <c r="AS8" s="73"/>
      <c r="AT8" s="324">
        <v>0</v>
      </c>
      <c r="AU8" s="51">
        <v>1</v>
      </c>
      <c r="AV8" s="51">
        <v>0</v>
      </c>
      <c r="AW8" s="51">
        <v>0</v>
      </c>
      <c r="AX8" s="51" t="s">
        <v>138</v>
      </c>
      <c r="AY8" s="60">
        <v>0</v>
      </c>
      <c r="AZ8" s="60">
        <v>0</v>
      </c>
      <c r="BB8" s="60">
        <v>1</v>
      </c>
      <c r="BC8" s="60"/>
      <c r="BD8" s="60">
        <v>0</v>
      </c>
      <c r="BE8" s="60">
        <v>1</v>
      </c>
      <c r="BF8" s="233">
        <v>1</v>
      </c>
      <c r="BG8" s="765"/>
      <c r="BH8" s="765"/>
      <c r="BI8" s="222">
        <v>1</v>
      </c>
      <c r="BJ8" s="60"/>
      <c r="BK8" s="60" t="s">
        <v>136</v>
      </c>
      <c r="BL8" s="60"/>
      <c r="BM8" s="60" t="s">
        <v>137</v>
      </c>
      <c r="BN8" s="60"/>
      <c r="BO8" s="60"/>
      <c r="BP8" s="60"/>
      <c r="BQ8" s="60"/>
      <c r="BR8" s="60"/>
      <c r="BS8" s="233"/>
      <c r="BT8" s="222"/>
      <c r="BU8" s="60"/>
      <c r="BV8" s="60"/>
      <c r="BW8" s="60"/>
      <c r="BX8" s="60">
        <v>0</v>
      </c>
      <c r="BY8" s="74"/>
      <c r="BZ8" s="74"/>
      <c r="CA8" s="75"/>
      <c r="CB8" s="67">
        <v>0</v>
      </c>
      <c r="CC8" s="67"/>
      <c r="CD8" s="67"/>
      <c r="CE8" s="67"/>
      <c r="CF8" s="67">
        <v>0</v>
      </c>
      <c r="CG8" s="60"/>
      <c r="CH8" s="60"/>
      <c r="CI8" s="60"/>
      <c r="CJ8" s="60"/>
      <c r="CK8" s="60"/>
      <c r="CL8" s="60"/>
      <c r="CM8" s="48">
        <v>76</v>
      </c>
      <c r="CN8" s="48">
        <v>54</v>
      </c>
      <c r="CP8" s="505">
        <v>31.1</v>
      </c>
      <c r="CQ8" s="505">
        <v>32.299999999999997</v>
      </c>
      <c r="CR8" s="61">
        <v>43853</v>
      </c>
      <c r="CS8" s="61">
        <v>43882</v>
      </c>
      <c r="CT8" s="67">
        <v>18</v>
      </c>
      <c r="CU8" s="61"/>
      <c r="CV8" s="65">
        <v>0</v>
      </c>
      <c r="CW8" s="61"/>
      <c r="CX8" s="65"/>
      <c r="CY8" s="65"/>
      <c r="CZ8" s="65"/>
      <c r="DA8" s="61"/>
      <c r="DB8" s="65">
        <v>0</v>
      </c>
      <c r="DC8" s="61"/>
      <c r="DD8" s="65">
        <v>0</v>
      </c>
      <c r="DE8" s="61"/>
      <c r="DF8" s="65">
        <v>0</v>
      </c>
      <c r="DG8" s="61"/>
      <c r="DH8" s="67"/>
      <c r="DI8" s="60"/>
      <c r="DJ8" s="60"/>
      <c r="DK8" s="60"/>
      <c r="DL8" s="60"/>
      <c r="DM8" s="60"/>
      <c r="DN8" s="60"/>
      <c r="DO8" s="60"/>
      <c r="DP8" s="60"/>
      <c r="DQ8" s="60"/>
      <c r="DR8" s="60"/>
      <c r="DS8" s="60"/>
      <c r="DT8" s="60"/>
      <c r="DU8" s="60"/>
      <c r="DV8" s="60"/>
      <c r="DW8" s="60"/>
      <c r="DX8" s="60"/>
      <c r="DY8" s="60"/>
      <c r="DZ8" s="60"/>
      <c r="EA8" s="60"/>
      <c r="EB8" s="60"/>
      <c r="EC8" s="60"/>
      <c r="ED8" s="60"/>
      <c r="EE8" s="60"/>
      <c r="EF8" s="60"/>
      <c r="EG8" s="60"/>
      <c r="EH8" s="60"/>
      <c r="EI8" s="60"/>
    </row>
    <row r="9" spans="1:139" s="47" customFormat="1" ht="39.75" customHeight="1">
      <c r="A9" s="50">
        <v>22</v>
      </c>
      <c r="B9" s="54">
        <v>43834</v>
      </c>
      <c r="C9" s="55">
        <v>43834.814583333333</v>
      </c>
      <c r="D9" s="56">
        <v>43831086</v>
      </c>
      <c r="E9" s="50" t="s">
        <v>139</v>
      </c>
      <c r="F9" s="47" t="b">
        <v>1</v>
      </c>
      <c r="H9" s="50" t="s">
        <v>129</v>
      </c>
      <c r="I9" s="54">
        <v>35312</v>
      </c>
      <c r="J9" s="57">
        <v>23.347945205479451</v>
      </c>
      <c r="K9" s="57">
        <v>280.32894736842104</v>
      </c>
      <c r="L9" s="50" t="s">
        <v>121</v>
      </c>
      <c r="M9" s="186" t="s">
        <v>140</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v>0</v>
      </c>
      <c r="AK9" s="323">
        <f t="shared" si="0"/>
        <v>0</v>
      </c>
      <c r="AL9" s="186"/>
      <c r="AM9" s="58">
        <v>43829</v>
      </c>
      <c r="AN9" s="52" t="s">
        <v>1499</v>
      </c>
      <c r="AO9" s="54">
        <v>43892</v>
      </c>
      <c r="AP9" s="50" t="s">
        <v>135</v>
      </c>
      <c r="AQ9" s="58">
        <v>43829</v>
      </c>
      <c r="AR9" s="52">
        <v>1</v>
      </c>
      <c r="AS9" s="52" t="s">
        <v>1500</v>
      </c>
      <c r="AT9" s="323">
        <v>0</v>
      </c>
      <c r="AU9" s="52">
        <v>0</v>
      </c>
      <c r="AV9" s="52">
        <v>0</v>
      </c>
      <c r="AW9" s="52">
        <v>1</v>
      </c>
      <c r="AX9" s="52" t="s">
        <v>141</v>
      </c>
      <c r="AY9" s="50"/>
      <c r="AZ9" s="50"/>
      <c r="BA9" s="47">
        <v>0</v>
      </c>
      <c r="BB9" s="50">
        <v>1</v>
      </c>
      <c r="BC9" s="50">
        <v>20</v>
      </c>
      <c r="BD9" s="50">
        <v>0</v>
      </c>
      <c r="BE9" s="50">
        <v>0</v>
      </c>
      <c r="BF9" s="232">
        <v>0</v>
      </c>
      <c r="BG9" s="764">
        <v>0</v>
      </c>
      <c r="BH9" s="764"/>
      <c r="BI9" s="212">
        <v>0</v>
      </c>
      <c r="BJ9" s="50"/>
      <c r="BK9" s="50">
        <v>0</v>
      </c>
      <c r="BL9" s="50"/>
      <c r="BM9" s="50">
        <v>0</v>
      </c>
      <c r="BN9" s="50"/>
      <c r="BO9" s="50">
        <v>0</v>
      </c>
      <c r="BP9" s="50">
        <v>0</v>
      </c>
      <c r="BQ9" s="50">
        <v>0</v>
      </c>
      <c r="BR9" s="50">
        <v>0</v>
      </c>
      <c r="BS9" s="232">
        <v>0</v>
      </c>
      <c r="BT9" s="212">
        <v>1</v>
      </c>
      <c r="BU9" s="50" t="s">
        <v>1501</v>
      </c>
      <c r="BV9" s="50">
        <v>0</v>
      </c>
      <c r="BW9" s="50">
        <v>0</v>
      </c>
      <c r="BX9" s="50">
        <v>0</v>
      </c>
      <c r="BY9" s="50"/>
      <c r="BZ9" s="50"/>
      <c r="CA9" s="50"/>
      <c r="CB9" s="50">
        <v>0</v>
      </c>
      <c r="CC9" s="50">
        <v>0</v>
      </c>
      <c r="CD9" s="50">
        <v>0</v>
      </c>
      <c r="CE9" s="50"/>
      <c r="CF9" s="50"/>
      <c r="CG9" s="50"/>
      <c r="CH9" s="50">
        <v>0</v>
      </c>
      <c r="CI9" s="50"/>
      <c r="CJ9" s="50">
        <v>0</v>
      </c>
      <c r="CK9" s="50">
        <v>0</v>
      </c>
      <c r="CL9" s="50">
        <v>0</v>
      </c>
      <c r="CM9" s="47">
        <v>154</v>
      </c>
      <c r="CN9" s="47">
        <v>136</v>
      </c>
      <c r="CP9" s="504">
        <v>29.7</v>
      </c>
      <c r="CQ9" s="504">
        <v>31</v>
      </c>
      <c r="CR9" s="54">
        <v>43834</v>
      </c>
      <c r="CS9" s="54">
        <v>43858</v>
      </c>
      <c r="CT9" s="66">
        <v>24</v>
      </c>
      <c r="CU9" s="54">
        <v>44294</v>
      </c>
      <c r="CV9" s="59">
        <v>0</v>
      </c>
      <c r="CW9" s="54"/>
      <c r="CX9" s="59">
        <v>0</v>
      </c>
      <c r="CY9" s="59">
        <v>0</v>
      </c>
      <c r="CZ9" s="59">
        <v>0</v>
      </c>
      <c r="DA9" s="54"/>
      <c r="DB9" s="59">
        <v>0</v>
      </c>
      <c r="DC9" s="54"/>
      <c r="DD9" s="59">
        <v>0</v>
      </c>
      <c r="DE9" s="54"/>
      <c r="DF9" s="59">
        <v>0</v>
      </c>
      <c r="DG9" s="54"/>
      <c r="DH9" s="54"/>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row>
    <row r="10" spans="1:139" s="47" customFormat="1" ht="39.75" customHeight="1">
      <c r="A10" s="50">
        <v>24</v>
      </c>
      <c r="B10" s="54">
        <v>43823</v>
      </c>
      <c r="C10" s="55">
        <v>43823.3125</v>
      </c>
      <c r="D10" s="56">
        <v>22361300</v>
      </c>
      <c r="E10" s="50" t="s">
        <v>142</v>
      </c>
      <c r="F10" s="47" t="b">
        <v>1</v>
      </c>
      <c r="H10" s="50" t="s">
        <v>113</v>
      </c>
      <c r="I10" s="54">
        <v>26195</v>
      </c>
      <c r="J10" s="76">
        <v>48.295890410958904</v>
      </c>
      <c r="K10" s="76">
        <v>579.86842105263156</v>
      </c>
      <c r="L10" s="50" t="s">
        <v>121</v>
      </c>
      <c r="M10" s="186" t="s">
        <v>143</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v>1</v>
      </c>
      <c r="AK10" s="323">
        <f t="shared" si="0"/>
        <v>0</v>
      </c>
      <c r="AL10" s="186" t="s">
        <v>144</v>
      </c>
      <c r="AM10" s="58">
        <v>43818</v>
      </c>
      <c r="AN10" s="52" t="s">
        <v>1502</v>
      </c>
      <c r="AO10" s="54">
        <v>43882</v>
      </c>
      <c r="AP10" s="50" t="s">
        <v>145</v>
      </c>
      <c r="AQ10" s="58">
        <v>43816</v>
      </c>
      <c r="AR10" s="52">
        <v>0</v>
      </c>
      <c r="AS10" s="52"/>
      <c r="AT10" s="323">
        <v>0</v>
      </c>
      <c r="AU10" s="52">
        <v>1</v>
      </c>
      <c r="AV10" s="52">
        <v>0</v>
      </c>
      <c r="AW10" s="52">
        <v>0</v>
      </c>
      <c r="AX10" s="52" t="s">
        <v>149</v>
      </c>
      <c r="AY10" s="70"/>
      <c r="AZ10" s="70" t="s">
        <v>1503</v>
      </c>
      <c r="BA10" s="47">
        <v>0</v>
      </c>
      <c r="BB10" s="69">
        <v>1</v>
      </c>
      <c r="BC10" s="69"/>
      <c r="BD10" s="69">
        <v>0</v>
      </c>
      <c r="BE10" s="69">
        <v>0</v>
      </c>
      <c r="BF10" s="234">
        <v>0</v>
      </c>
      <c r="BG10" s="766">
        <v>0</v>
      </c>
      <c r="BH10" s="766"/>
      <c r="BI10" s="223">
        <v>1</v>
      </c>
      <c r="BJ10" s="70"/>
      <c r="BK10" s="70">
        <v>1</v>
      </c>
      <c r="BL10" s="70" t="s">
        <v>146</v>
      </c>
      <c r="BM10" s="47">
        <v>1</v>
      </c>
      <c r="BN10" s="70" t="s">
        <v>147</v>
      </c>
      <c r="BO10" s="70">
        <v>1</v>
      </c>
      <c r="BP10" s="70">
        <v>0</v>
      </c>
      <c r="BQ10" s="70">
        <v>0</v>
      </c>
      <c r="BR10" s="70">
        <v>0</v>
      </c>
      <c r="BS10" s="240">
        <v>0</v>
      </c>
      <c r="BT10" s="223">
        <v>0</v>
      </c>
      <c r="BU10" s="70"/>
      <c r="BV10" s="70">
        <v>0</v>
      </c>
      <c r="BW10" s="70">
        <v>0</v>
      </c>
      <c r="BX10" s="70">
        <v>0</v>
      </c>
      <c r="BY10" s="70"/>
      <c r="BZ10" s="70"/>
      <c r="CA10" s="70"/>
      <c r="CB10" s="77">
        <v>0</v>
      </c>
      <c r="CC10" s="77">
        <v>0</v>
      </c>
      <c r="CD10" s="77">
        <v>0</v>
      </c>
      <c r="CE10" s="77"/>
      <c r="CF10" s="77"/>
      <c r="CG10" s="70"/>
      <c r="CH10" s="70">
        <v>0</v>
      </c>
      <c r="CI10" s="70"/>
      <c r="CJ10" s="70">
        <v>0</v>
      </c>
      <c r="CK10" s="70">
        <v>0</v>
      </c>
      <c r="CL10" s="70">
        <v>0</v>
      </c>
      <c r="CM10" s="47">
        <v>107</v>
      </c>
      <c r="CN10" s="47">
        <v>89</v>
      </c>
      <c r="CP10" s="504">
        <v>31.9</v>
      </c>
      <c r="CQ10" s="504">
        <v>32.799999999999997</v>
      </c>
      <c r="CR10" s="54">
        <v>43816</v>
      </c>
      <c r="CS10" s="54">
        <v>43836</v>
      </c>
      <c r="CT10" s="78">
        <v>13</v>
      </c>
      <c r="CU10" s="79">
        <v>44277</v>
      </c>
      <c r="CV10" s="59">
        <v>0</v>
      </c>
      <c r="CW10" s="54"/>
      <c r="CX10" s="59">
        <v>0</v>
      </c>
      <c r="CY10" s="59">
        <v>0</v>
      </c>
      <c r="CZ10" s="59">
        <v>0</v>
      </c>
      <c r="DA10" s="54"/>
      <c r="DB10" s="59">
        <v>0</v>
      </c>
      <c r="DC10" s="54"/>
      <c r="DD10" s="59">
        <v>0</v>
      </c>
      <c r="DE10" s="54"/>
      <c r="DF10" s="59">
        <v>0</v>
      </c>
      <c r="DG10" s="54"/>
      <c r="DH10" s="66"/>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row>
    <row r="11" spans="1:139" s="47" customFormat="1" ht="39.75" customHeight="1">
      <c r="A11" s="50">
        <v>27</v>
      </c>
      <c r="B11" s="54">
        <v>43802</v>
      </c>
      <c r="C11" s="55">
        <v>43802.519444444442</v>
      </c>
      <c r="D11" s="56">
        <v>43550958</v>
      </c>
      <c r="E11" s="50" t="s">
        <v>150</v>
      </c>
      <c r="F11" s="47" t="b">
        <v>1</v>
      </c>
      <c r="H11" s="50" t="s">
        <v>129</v>
      </c>
      <c r="I11" s="54">
        <v>23496</v>
      </c>
      <c r="J11" s="76">
        <v>55.632876712328766</v>
      </c>
      <c r="K11" s="76">
        <v>667.96052631578948</v>
      </c>
      <c r="L11" s="50" t="s">
        <v>125</v>
      </c>
      <c r="M11" s="186" t="s">
        <v>151</v>
      </c>
      <c r="N11" s="47">
        <v>153</v>
      </c>
      <c r="O11" s="47">
        <v>41</v>
      </c>
      <c r="P11" s="47">
        <f t="shared" si="1"/>
        <v>17.514631124781069</v>
      </c>
      <c r="Q11" s="68">
        <v>43788</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v>0</v>
      </c>
      <c r="AK11" s="323">
        <f t="shared" si="0"/>
        <v>0</v>
      </c>
      <c r="AL11" s="186" t="s">
        <v>1505</v>
      </c>
      <c r="AM11" s="58">
        <v>43790</v>
      </c>
      <c r="AN11" s="52" t="s">
        <v>1506</v>
      </c>
      <c r="AO11" s="54">
        <v>43830</v>
      </c>
      <c r="AP11" s="50" t="s">
        <v>152</v>
      </c>
      <c r="AQ11" s="58">
        <v>43788</v>
      </c>
      <c r="AR11" s="52">
        <v>1</v>
      </c>
      <c r="AS11" s="52" t="s">
        <v>153</v>
      </c>
      <c r="AT11" s="323">
        <v>0</v>
      </c>
      <c r="AU11" s="52">
        <v>0</v>
      </c>
      <c r="AV11" s="52">
        <v>0</v>
      </c>
      <c r="AW11" s="52">
        <v>1</v>
      </c>
      <c r="AX11" s="52" t="s">
        <v>156</v>
      </c>
      <c r="AY11" s="70"/>
      <c r="AZ11" s="70" t="s">
        <v>1507</v>
      </c>
      <c r="BA11" s="47">
        <v>0</v>
      </c>
      <c r="BB11" s="69">
        <v>1</v>
      </c>
      <c r="BC11" s="69"/>
      <c r="BD11" s="69">
        <v>0</v>
      </c>
      <c r="BE11" s="69">
        <v>0</v>
      </c>
      <c r="BF11" s="234">
        <v>0</v>
      </c>
      <c r="BG11" s="766">
        <v>0</v>
      </c>
      <c r="BH11" s="766"/>
      <c r="BI11" s="223">
        <v>1</v>
      </c>
      <c r="BJ11" s="70"/>
      <c r="BK11" s="47">
        <v>1</v>
      </c>
      <c r="BL11" s="70" t="s">
        <v>154</v>
      </c>
      <c r="BM11" s="70">
        <v>0</v>
      </c>
      <c r="BN11" s="70"/>
      <c r="BO11" s="70">
        <v>0</v>
      </c>
      <c r="BP11" s="70">
        <v>0</v>
      </c>
      <c r="BQ11" s="70">
        <v>0</v>
      </c>
      <c r="BR11" s="70">
        <v>0</v>
      </c>
      <c r="BS11" s="240">
        <v>0</v>
      </c>
      <c r="BT11" s="223">
        <v>0</v>
      </c>
      <c r="BU11" s="70"/>
      <c r="BV11" s="70">
        <v>0</v>
      </c>
      <c r="BW11" s="70">
        <v>1</v>
      </c>
      <c r="BX11" s="70">
        <v>1</v>
      </c>
      <c r="BY11" s="70"/>
      <c r="BZ11" s="70" t="s">
        <v>1507</v>
      </c>
      <c r="CA11" s="70" t="s">
        <v>1509</v>
      </c>
      <c r="CB11" s="77">
        <v>0</v>
      </c>
      <c r="CC11" s="77">
        <v>1</v>
      </c>
      <c r="CD11" s="77">
        <v>0</v>
      </c>
      <c r="CE11" s="77"/>
      <c r="CF11" s="77" t="s">
        <v>1507</v>
      </c>
      <c r="CG11" s="70" t="s">
        <v>1508</v>
      </c>
      <c r="CH11" s="47">
        <v>1</v>
      </c>
      <c r="CI11" s="80" t="s">
        <v>1510</v>
      </c>
      <c r="CJ11" s="70">
        <v>0</v>
      </c>
      <c r="CK11" s="70">
        <v>0</v>
      </c>
      <c r="CL11" s="70">
        <v>0</v>
      </c>
      <c r="CM11" s="47">
        <v>152</v>
      </c>
      <c r="CN11" s="47">
        <v>111</v>
      </c>
      <c r="CP11" s="504">
        <v>28.8</v>
      </c>
      <c r="CQ11" s="504">
        <v>30.4</v>
      </c>
      <c r="CR11" s="54">
        <v>43790</v>
      </c>
      <c r="CS11" s="54">
        <v>43818</v>
      </c>
      <c r="CT11" s="78">
        <v>16</v>
      </c>
      <c r="CU11" s="79">
        <v>44154</v>
      </c>
      <c r="CV11" s="59">
        <v>0</v>
      </c>
      <c r="CW11" s="54"/>
      <c r="CX11" s="59">
        <v>0</v>
      </c>
      <c r="CY11" s="59">
        <v>0</v>
      </c>
      <c r="CZ11" s="59">
        <v>0</v>
      </c>
      <c r="DA11" s="54"/>
      <c r="DB11" s="59">
        <v>0</v>
      </c>
      <c r="DC11" s="54"/>
      <c r="DD11" s="59">
        <v>0</v>
      </c>
      <c r="DE11" s="54"/>
      <c r="DF11" s="59">
        <v>0</v>
      </c>
      <c r="DG11" s="54"/>
      <c r="DH11" s="66" t="s">
        <v>157</v>
      </c>
      <c r="DI11" s="70"/>
      <c r="DJ11" s="70"/>
      <c r="DK11" s="70"/>
      <c r="DL11" s="70"/>
      <c r="DM11" s="70"/>
      <c r="DN11" s="70"/>
      <c r="DO11" s="70"/>
      <c r="DP11" s="70"/>
      <c r="DQ11" s="70"/>
      <c r="DR11" s="70"/>
      <c r="DS11" s="70"/>
      <c r="DT11" s="70"/>
      <c r="DU11" s="70"/>
      <c r="DV11" s="70"/>
      <c r="DW11" s="70"/>
      <c r="DX11" s="70"/>
      <c r="DY11" s="70"/>
      <c r="DZ11" s="70"/>
      <c r="EA11" s="70"/>
      <c r="EB11" s="70"/>
      <c r="EC11" s="70"/>
      <c r="ED11" s="70"/>
      <c r="EE11" s="70"/>
      <c r="EF11" s="70"/>
      <c r="EG11" s="70"/>
      <c r="EH11" s="70"/>
      <c r="EI11" s="70"/>
    </row>
    <row r="12" spans="1:139" s="47" customFormat="1" ht="39.75" customHeight="1">
      <c r="A12" s="50">
        <v>29</v>
      </c>
      <c r="B12" s="54">
        <v>43797</v>
      </c>
      <c r="C12" s="55">
        <v>43797.3125</v>
      </c>
      <c r="D12" s="56">
        <v>2677469</v>
      </c>
      <c r="E12" s="50" t="s">
        <v>158</v>
      </c>
      <c r="F12" s="47" t="b">
        <v>1</v>
      </c>
      <c r="H12" s="50" t="s">
        <v>129</v>
      </c>
      <c r="I12" s="54">
        <v>23933</v>
      </c>
      <c r="J12" s="76">
        <v>54.421917808219177</v>
      </c>
      <c r="K12" s="76">
        <v>653.42105263157896</v>
      </c>
      <c r="L12" s="50" t="s">
        <v>114</v>
      </c>
      <c r="M12" s="186" t="s">
        <v>159</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v>0</v>
      </c>
      <c r="AK12" s="323">
        <f t="shared" si="0"/>
        <v>0</v>
      </c>
      <c r="AL12" s="186"/>
      <c r="AM12" s="58">
        <v>43776</v>
      </c>
      <c r="AN12" s="52" t="s">
        <v>1513</v>
      </c>
      <c r="AO12" s="54">
        <v>43824</v>
      </c>
      <c r="AP12" s="50" t="s">
        <v>160</v>
      </c>
      <c r="AQ12" s="58">
        <v>43776</v>
      </c>
      <c r="AR12" s="52">
        <v>1</v>
      </c>
      <c r="AS12" s="52" t="s">
        <v>161</v>
      </c>
      <c r="AT12" s="323">
        <v>0</v>
      </c>
      <c r="AU12" s="52">
        <v>1</v>
      </c>
      <c r="AV12" s="52">
        <v>0</v>
      </c>
      <c r="AW12" s="52">
        <v>0</v>
      </c>
      <c r="AX12" s="52" t="s">
        <v>164</v>
      </c>
      <c r="AY12" s="70"/>
      <c r="AZ12" s="70" t="s">
        <v>1514</v>
      </c>
      <c r="BA12" s="47">
        <v>0</v>
      </c>
      <c r="BB12" s="69">
        <v>1</v>
      </c>
      <c r="BC12" s="69"/>
      <c r="BD12" s="69">
        <v>0</v>
      </c>
      <c r="BE12" s="69">
        <v>0</v>
      </c>
      <c r="BF12" s="234">
        <v>1</v>
      </c>
      <c r="BG12" s="766">
        <v>0</v>
      </c>
      <c r="BH12" s="766"/>
      <c r="BI12" s="223">
        <v>1</v>
      </c>
      <c r="BJ12" s="70"/>
      <c r="BK12" s="47">
        <v>1</v>
      </c>
      <c r="BL12" s="70" t="s">
        <v>162</v>
      </c>
      <c r="BM12" s="47">
        <v>1</v>
      </c>
      <c r="BN12" s="70" t="s">
        <v>163</v>
      </c>
      <c r="BO12" s="70">
        <v>0</v>
      </c>
      <c r="BP12" s="70">
        <v>1</v>
      </c>
      <c r="BQ12" s="70">
        <v>0</v>
      </c>
      <c r="BR12" s="70">
        <v>0</v>
      </c>
      <c r="BS12" s="240">
        <v>0</v>
      </c>
      <c r="BT12" s="223">
        <v>0</v>
      </c>
      <c r="BU12" s="70"/>
      <c r="BV12" s="70">
        <v>0</v>
      </c>
      <c r="BW12" s="70">
        <v>0</v>
      </c>
      <c r="BX12" s="70">
        <v>0</v>
      </c>
      <c r="BY12" s="70"/>
      <c r="BZ12" s="70"/>
      <c r="CA12" s="70"/>
      <c r="CB12" s="77">
        <v>0</v>
      </c>
      <c r="CC12" s="77">
        <v>0</v>
      </c>
      <c r="CD12" s="77">
        <v>0</v>
      </c>
      <c r="CE12" s="77"/>
      <c r="CF12" s="77"/>
      <c r="CG12" s="70"/>
      <c r="CH12" s="70">
        <v>0</v>
      </c>
      <c r="CI12" s="70"/>
      <c r="CJ12" s="70">
        <v>0</v>
      </c>
      <c r="CK12" s="70">
        <v>0</v>
      </c>
      <c r="CL12" s="70">
        <v>0</v>
      </c>
      <c r="CM12" s="47">
        <v>85</v>
      </c>
      <c r="CN12" s="47">
        <v>60</v>
      </c>
      <c r="CP12" s="504">
        <v>30</v>
      </c>
      <c r="CQ12" s="504">
        <v>32.5</v>
      </c>
      <c r="CR12" s="54">
        <v>43776</v>
      </c>
      <c r="CS12" s="54">
        <v>43810</v>
      </c>
      <c r="CT12" s="78">
        <v>13</v>
      </c>
      <c r="CU12" s="79">
        <v>44209</v>
      </c>
      <c r="CV12" s="59">
        <v>0</v>
      </c>
      <c r="CW12" s="54"/>
      <c r="CX12" s="59">
        <v>0</v>
      </c>
      <c r="CY12" s="59">
        <v>0</v>
      </c>
      <c r="CZ12" s="59">
        <v>0</v>
      </c>
      <c r="DA12" s="54"/>
      <c r="DB12" s="59">
        <v>0</v>
      </c>
      <c r="DC12" s="54"/>
      <c r="DD12" s="59">
        <v>0</v>
      </c>
      <c r="DE12" s="54"/>
      <c r="DF12" s="59">
        <v>0</v>
      </c>
      <c r="DG12" s="54"/>
      <c r="DH12" s="66"/>
      <c r="DI12" s="70"/>
      <c r="DJ12" s="70"/>
      <c r="DK12" s="70"/>
      <c r="DL12" s="70"/>
      <c r="DM12" s="70"/>
      <c r="DN12" s="70"/>
      <c r="DO12" s="70"/>
      <c r="DP12" s="70"/>
      <c r="DQ12" s="70"/>
      <c r="DR12" s="70"/>
      <c r="DS12" s="70"/>
      <c r="DT12" s="70"/>
      <c r="DU12" s="70"/>
      <c r="DV12" s="70"/>
      <c r="DW12" s="70"/>
      <c r="DX12" s="70"/>
      <c r="DY12" s="70"/>
      <c r="DZ12" s="70"/>
      <c r="EA12" s="70"/>
      <c r="EB12" s="70"/>
      <c r="EC12" s="70"/>
      <c r="ED12" s="70"/>
      <c r="EE12" s="70"/>
      <c r="EF12" s="70"/>
      <c r="EG12" s="70"/>
      <c r="EH12" s="70"/>
      <c r="EI12" s="70"/>
    </row>
    <row r="13" spans="1:139" s="47" customFormat="1" ht="39.75" customHeight="1">
      <c r="A13" s="50">
        <v>30</v>
      </c>
      <c r="B13" s="54">
        <v>43794</v>
      </c>
      <c r="C13" s="55">
        <v>43794.777083333334</v>
      </c>
      <c r="D13" s="56">
        <v>6782099</v>
      </c>
      <c r="E13" s="50" t="s">
        <v>165</v>
      </c>
      <c r="F13" s="47" t="b">
        <v>1</v>
      </c>
      <c r="H13" s="50" t="s">
        <v>129</v>
      </c>
      <c r="I13" s="54">
        <v>19326</v>
      </c>
      <c r="J13" s="76">
        <v>67.035616438356158</v>
      </c>
      <c r="K13" s="76">
        <v>804.86842105263156</v>
      </c>
      <c r="L13" s="50" t="s">
        <v>166</v>
      </c>
      <c r="M13" s="186" t="s">
        <v>167</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v>0</v>
      </c>
      <c r="AK13" s="323">
        <f t="shared" si="0"/>
        <v>1</v>
      </c>
      <c r="AL13" s="186"/>
      <c r="AM13" s="58">
        <v>43779</v>
      </c>
      <c r="AN13" s="52" t="s">
        <v>1519</v>
      </c>
      <c r="AO13" s="54">
        <v>43808</v>
      </c>
      <c r="AP13" s="50" t="s">
        <v>1517</v>
      </c>
      <c r="AQ13" s="58">
        <v>43778</v>
      </c>
      <c r="AR13" s="52">
        <v>1</v>
      </c>
      <c r="AS13" s="52" t="s">
        <v>1518</v>
      </c>
      <c r="AT13" s="323">
        <v>0</v>
      </c>
      <c r="AU13" s="52">
        <v>0</v>
      </c>
      <c r="AV13" s="52">
        <v>0</v>
      </c>
      <c r="AW13" s="52">
        <v>1</v>
      </c>
      <c r="AX13" s="50" t="s">
        <v>169</v>
      </c>
      <c r="AY13" s="70"/>
      <c r="AZ13" s="70" t="s">
        <v>1507</v>
      </c>
      <c r="BA13" s="47">
        <v>0</v>
      </c>
      <c r="BB13" s="69">
        <v>1</v>
      </c>
      <c r="BC13" s="69"/>
      <c r="BD13" s="69">
        <v>0</v>
      </c>
      <c r="BE13" s="69">
        <v>0</v>
      </c>
      <c r="BF13" s="234">
        <v>0</v>
      </c>
      <c r="BG13" s="766">
        <v>0</v>
      </c>
      <c r="BH13" s="766"/>
      <c r="BI13" s="223">
        <v>0</v>
      </c>
      <c r="BJ13" s="70"/>
      <c r="BK13" s="70">
        <v>0</v>
      </c>
      <c r="BL13" s="70"/>
      <c r="BM13" s="70">
        <v>0</v>
      </c>
      <c r="BN13" s="70"/>
      <c r="BO13" s="70">
        <v>0</v>
      </c>
      <c r="BP13" s="70">
        <v>0</v>
      </c>
      <c r="BQ13" s="70">
        <v>0</v>
      </c>
      <c r="BR13" s="70">
        <v>0</v>
      </c>
      <c r="BS13" s="240">
        <v>0</v>
      </c>
      <c r="BT13" s="223">
        <v>1</v>
      </c>
      <c r="BU13" s="70" t="s">
        <v>1520</v>
      </c>
      <c r="BV13" s="70">
        <v>0</v>
      </c>
      <c r="BW13" s="70">
        <v>0</v>
      </c>
      <c r="BX13" s="70">
        <v>0</v>
      </c>
      <c r="BY13" s="70"/>
      <c r="BZ13" s="70"/>
      <c r="CA13" s="70"/>
      <c r="CB13" s="70">
        <v>0</v>
      </c>
      <c r="CC13" s="70">
        <v>0</v>
      </c>
      <c r="CD13" s="70">
        <v>0</v>
      </c>
      <c r="CE13" s="70"/>
      <c r="CF13" s="70"/>
      <c r="CG13" s="70"/>
      <c r="CH13" s="70">
        <v>0</v>
      </c>
      <c r="CI13" s="70"/>
      <c r="CJ13" s="70">
        <v>0</v>
      </c>
      <c r="CK13" s="70">
        <v>0</v>
      </c>
      <c r="CL13" s="70">
        <v>0</v>
      </c>
      <c r="CM13" s="47">
        <v>103</v>
      </c>
      <c r="CN13" s="47">
        <v>63</v>
      </c>
      <c r="CP13" s="504">
        <v>29.7</v>
      </c>
      <c r="CQ13" s="504">
        <v>31.8</v>
      </c>
      <c r="CR13" s="54">
        <v>43779</v>
      </c>
      <c r="CS13" s="54">
        <v>43803</v>
      </c>
      <c r="CT13" s="78">
        <v>9</v>
      </c>
      <c r="CU13" s="79">
        <v>44265</v>
      </c>
      <c r="CV13" s="59">
        <v>0</v>
      </c>
      <c r="CW13" s="54"/>
      <c r="CX13" s="59">
        <v>0</v>
      </c>
      <c r="CY13" s="59">
        <v>0</v>
      </c>
      <c r="CZ13" s="59">
        <v>0</v>
      </c>
      <c r="DA13" s="54"/>
      <c r="DB13" s="59">
        <v>0</v>
      </c>
      <c r="DC13" s="54"/>
      <c r="DD13" s="59">
        <v>0</v>
      </c>
      <c r="DE13" s="54"/>
      <c r="DF13" s="59">
        <v>0</v>
      </c>
      <c r="DG13" s="54"/>
      <c r="DH13" s="54"/>
      <c r="DI13" s="70"/>
      <c r="DJ13" s="70"/>
      <c r="DK13" s="70"/>
      <c r="DL13" s="70"/>
      <c r="DM13" s="70"/>
      <c r="DN13" s="70"/>
      <c r="DO13" s="70"/>
      <c r="DP13" s="70"/>
      <c r="DQ13" s="70"/>
      <c r="DR13" s="70"/>
      <c r="DS13" s="70"/>
      <c r="DT13" s="70"/>
      <c r="DU13" s="70"/>
      <c r="DV13" s="70"/>
      <c r="DW13" s="70"/>
      <c r="DX13" s="70"/>
      <c r="DY13" s="70"/>
      <c r="DZ13" s="70"/>
      <c r="EA13" s="70"/>
      <c r="EB13" s="70"/>
      <c r="EC13" s="70"/>
      <c r="ED13" s="70"/>
      <c r="EE13" s="70"/>
      <c r="EF13" s="70"/>
      <c r="EG13" s="70"/>
      <c r="EH13" s="70"/>
      <c r="EI13" s="70"/>
    </row>
    <row r="14" spans="1:139" s="47" customFormat="1" ht="39.75" customHeight="1">
      <c r="A14" s="50">
        <v>32</v>
      </c>
      <c r="B14" s="54">
        <v>43787</v>
      </c>
      <c r="C14" s="55">
        <v>43787.311805555553</v>
      </c>
      <c r="D14" s="56">
        <v>43499066</v>
      </c>
      <c r="E14" s="50" t="s">
        <v>170</v>
      </c>
      <c r="F14" s="47" t="b">
        <v>1</v>
      </c>
      <c r="H14" s="50" t="s">
        <v>113</v>
      </c>
      <c r="I14" s="54">
        <v>20664</v>
      </c>
      <c r="J14" s="76">
        <v>63.350684931506848</v>
      </c>
      <c r="K14" s="76">
        <v>760.625</v>
      </c>
      <c r="L14" s="50" t="s">
        <v>166</v>
      </c>
      <c r="M14" s="186" t="s">
        <v>171</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v>0</v>
      </c>
      <c r="AK14" s="323">
        <f t="shared" si="0"/>
        <v>0</v>
      </c>
      <c r="AL14" s="186"/>
      <c r="AM14" s="58">
        <v>43729</v>
      </c>
      <c r="AN14" s="52" t="s">
        <v>1523</v>
      </c>
      <c r="AO14" s="54"/>
      <c r="AP14" s="50" t="s">
        <v>1522</v>
      </c>
      <c r="AQ14" s="58">
        <v>43725</v>
      </c>
      <c r="AR14" s="52">
        <v>1</v>
      </c>
      <c r="AS14" s="52" t="s">
        <v>1524</v>
      </c>
      <c r="AT14" s="323">
        <v>0</v>
      </c>
      <c r="AU14" s="52">
        <v>0</v>
      </c>
      <c r="AV14" s="52">
        <v>1</v>
      </c>
      <c r="AW14" s="52">
        <v>1</v>
      </c>
      <c r="AX14" s="50" t="s">
        <v>169</v>
      </c>
      <c r="AY14" s="70"/>
      <c r="AZ14" s="70" t="s">
        <v>1507</v>
      </c>
      <c r="BA14" s="47">
        <v>0</v>
      </c>
      <c r="BB14" s="69">
        <v>1</v>
      </c>
      <c r="BC14" s="69"/>
      <c r="BD14" s="69">
        <v>0</v>
      </c>
      <c r="BE14" s="69">
        <v>0</v>
      </c>
      <c r="BF14" s="234">
        <v>0</v>
      </c>
      <c r="BG14" s="766">
        <v>0</v>
      </c>
      <c r="BH14" s="766"/>
      <c r="BI14" s="223">
        <v>0</v>
      </c>
      <c r="BJ14" s="70"/>
      <c r="BK14" s="70">
        <v>0</v>
      </c>
      <c r="BL14" s="70"/>
      <c r="BM14" s="70">
        <v>0</v>
      </c>
      <c r="BN14" s="70"/>
      <c r="BO14" s="70">
        <v>0</v>
      </c>
      <c r="BP14" s="70">
        <v>0</v>
      </c>
      <c r="BQ14" s="70">
        <v>0</v>
      </c>
      <c r="BR14" s="70">
        <v>0</v>
      </c>
      <c r="BS14" s="240">
        <v>0</v>
      </c>
      <c r="BT14" s="223">
        <v>1</v>
      </c>
      <c r="BU14" s="70" t="s">
        <v>1520</v>
      </c>
      <c r="BV14" s="70">
        <v>0</v>
      </c>
      <c r="BW14" s="70">
        <v>0</v>
      </c>
      <c r="BX14" s="70">
        <v>0</v>
      </c>
      <c r="BY14" s="70"/>
      <c r="BZ14" s="70"/>
      <c r="CA14" s="70"/>
      <c r="CB14" s="70">
        <v>0</v>
      </c>
      <c r="CC14" s="70">
        <v>0</v>
      </c>
      <c r="CD14" s="70">
        <v>0</v>
      </c>
      <c r="CE14" s="70"/>
      <c r="CF14" s="70"/>
      <c r="CG14" s="70"/>
      <c r="CH14" s="70">
        <v>0</v>
      </c>
      <c r="CI14" s="70"/>
      <c r="CJ14" s="70">
        <v>0</v>
      </c>
      <c r="CK14" s="70">
        <v>0</v>
      </c>
      <c r="CL14" s="70">
        <v>0</v>
      </c>
      <c r="CM14" s="47">
        <v>195</v>
      </c>
      <c r="CN14" s="47">
        <v>159</v>
      </c>
      <c r="CP14" s="504">
        <v>26</v>
      </c>
      <c r="CQ14" s="504">
        <v>26.8</v>
      </c>
      <c r="CR14" s="54">
        <v>43781</v>
      </c>
      <c r="CS14" s="54">
        <v>43801</v>
      </c>
      <c r="CT14" s="78">
        <v>14</v>
      </c>
      <c r="CU14" s="79">
        <v>43928</v>
      </c>
      <c r="CV14" s="59">
        <v>0</v>
      </c>
      <c r="CW14" s="54"/>
      <c r="CX14" s="59">
        <v>0</v>
      </c>
      <c r="CY14" s="59">
        <v>0</v>
      </c>
      <c r="CZ14" s="59">
        <v>0</v>
      </c>
      <c r="DA14" s="54"/>
      <c r="DB14" s="59">
        <v>0</v>
      </c>
      <c r="DC14" s="54"/>
      <c r="DD14" s="59">
        <v>0</v>
      </c>
      <c r="DE14" s="54"/>
      <c r="DF14" s="59">
        <v>0</v>
      </c>
      <c r="DG14" s="54"/>
      <c r="DH14" s="54"/>
      <c r="DI14" s="70"/>
      <c r="DJ14" s="70"/>
      <c r="DK14" s="70"/>
      <c r="DL14" s="70"/>
      <c r="DM14" s="70"/>
      <c r="DN14" s="70"/>
      <c r="DO14" s="70"/>
      <c r="DP14" s="70"/>
      <c r="DQ14" s="70"/>
      <c r="DR14" s="70"/>
      <c r="DS14" s="70"/>
      <c r="DT14" s="70"/>
      <c r="DU14" s="70"/>
      <c r="DV14" s="70"/>
      <c r="DW14" s="70"/>
      <c r="DX14" s="70"/>
      <c r="DY14" s="70"/>
      <c r="DZ14" s="70"/>
      <c r="EA14" s="70"/>
      <c r="EB14" s="70"/>
      <c r="EC14" s="70"/>
      <c r="ED14" s="70"/>
      <c r="EE14" s="70"/>
      <c r="EF14" s="70"/>
      <c r="EG14" s="70"/>
      <c r="EH14" s="70"/>
      <c r="EI14" s="70"/>
    </row>
    <row r="15" spans="1:139" s="48" customFormat="1" ht="39.75" customHeight="1">
      <c r="A15" s="60">
        <v>33</v>
      </c>
      <c r="B15" s="61">
        <v>43783</v>
      </c>
      <c r="C15" s="62">
        <v>43783.304166666669</v>
      </c>
      <c r="D15" s="63">
        <v>9510480</v>
      </c>
      <c r="E15" s="60" t="s">
        <v>172</v>
      </c>
      <c r="F15" s="48" t="b">
        <v>0</v>
      </c>
      <c r="G15" s="48" t="s">
        <v>1487</v>
      </c>
      <c r="H15" s="60" t="s">
        <v>129</v>
      </c>
      <c r="I15" s="61">
        <v>26316</v>
      </c>
      <c r="J15" s="81">
        <v>47.854794520547948</v>
      </c>
      <c r="K15" s="81">
        <v>574.5723684210526</v>
      </c>
      <c r="L15" s="60" t="s">
        <v>114</v>
      </c>
      <c r="M15" s="187" t="s">
        <v>173</v>
      </c>
      <c r="N15" s="48">
        <v>157.1</v>
      </c>
      <c r="O15" s="48">
        <v>60.6</v>
      </c>
      <c r="P15" s="48">
        <f t="shared" si="1"/>
        <v>24.553887070757739</v>
      </c>
      <c r="Q15" s="51"/>
      <c r="V15" s="51"/>
      <c r="Y15" s="216"/>
      <c r="Z15" s="336"/>
      <c r="AA15" s="324"/>
      <c r="AB15" s="324"/>
      <c r="AC15" s="324"/>
      <c r="AD15" s="324"/>
      <c r="AE15" s="324"/>
      <c r="AF15" s="324"/>
      <c r="AG15" s="324"/>
      <c r="AH15" s="324"/>
      <c r="AI15" s="324"/>
      <c r="AJ15" s="324"/>
      <c r="AK15" s="324">
        <f t="shared" si="0"/>
        <v>0</v>
      </c>
      <c r="AL15" s="187"/>
      <c r="AM15" s="191"/>
      <c r="AN15" s="51"/>
      <c r="AO15" s="61"/>
      <c r="AP15" s="60"/>
      <c r="AQ15" s="191"/>
      <c r="AR15" s="51"/>
      <c r="AS15" s="51"/>
      <c r="AT15" s="324"/>
      <c r="AU15" s="51"/>
      <c r="AV15" s="51"/>
      <c r="AW15" s="51"/>
      <c r="AX15" s="60" t="s">
        <v>175</v>
      </c>
      <c r="AY15" s="71"/>
      <c r="AZ15" s="71"/>
      <c r="BB15" s="82"/>
      <c r="BC15" s="82"/>
      <c r="BD15" s="82"/>
      <c r="BE15" s="82"/>
      <c r="BF15" s="235"/>
      <c r="BG15" s="767"/>
      <c r="BH15" s="767"/>
      <c r="BI15" s="224"/>
      <c r="BJ15" s="71"/>
      <c r="BK15" s="71"/>
      <c r="BL15" s="71"/>
      <c r="BM15" s="71"/>
      <c r="BN15" s="71"/>
      <c r="BO15" s="71"/>
      <c r="BP15" s="71"/>
      <c r="BQ15" s="71"/>
      <c r="BR15" s="71"/>
      <c r="BS15" s="241"/>
      <c r="BT15" s="224" t="s">
        <v>174</v>
      </c>
      <c r="BU15" s="71"/>
      <c r="BV15" s="71"/>
      <c r="BW15" s="71"/>
      <c r="BX15" s="71"/>
      <c r="BY15" s="71"/>
      <c r="BZ15" s="71"/>
      <c r="CA15" s="71"/>
      <c r="CB15" s="71"/>
      <c r="CC15" s="71"/>
      <c r="CD15" s="71"/>
      <c r="CE15" s="71"/>
      <c r="CF15" s="71"/>
      <c r="CG15" s="71"/>
      <c r="CH15" s="71"/>
      <c r="CI15" s="71"/>
      <c r="CJ15" s="71"/>
      <c r="CK15" s="71"/>
      <c r="CL15" s="71"/>
      <c r="CM15" s="48">
        <v>109</v>
      </c>
      <c r="CN15" s="48">
        <v>72</v>
      </c>
      <c r="CP15" s="505">
        <v>29.6</v>
      </c>
      <c r="CQ15" s="505">
        <v>31.6</v>
      </c>
      <c r="CR15" s="61">
        <v>43780</v>
      </c>
      <c r="CS15" s="61">
        <v>43795</v>
      </c>
      <c r="CT15" s="83">
        <v>12</v>
      </c>
      <c r="CU15" s="84"/>
      <c r="CV15" s="65"/>
      <c r="CW15" s="61"/>
      <c r="CX15" s="65"/>
      <c r="CY15" s="65"/>
      <c r="CZ15" s="65"/>
      <c r="DA15" s="61"/>
      <c r="DB15" s="65"/>
      <c r="DC15" s="61"/>
      <c r="DD15" s="65"/>
      <c r="DE15" s="61"/>
      <c r="DF15" s="65"/>
      <c r="DG15" s="61"/>
      <c r="DH15" s="61"/>
      <c r="DI15" s="71"/>
      <c r="DJ15" s="71"/>
      <c r="DK15" s="71"/>
      <c r="DL15" s="71"/>
      <c r="DM15" s="71"/>
      <c r="DN15" s="71"/>
      <c r="DO15" s="71"/>
      <c r="DP15" s="71"/>
      <c r="DQ15" s="71"/>
      <c r="DR15" s="71"/>
      <c r="DS15" s="71"/>
      <c r="DT15" s="71"/>
      <c r="DU15" s="71"/>
      <c r="DV15" s="71"/>
      <c r="DW15" s="71"/>
      <c r="DX15" s="71"/>
      <c r="DY15" s="71"/>
      <c r="DZ15" s="71"/>
      <c r="EA15" s="71"/>
      <c r="EB15" s="71"/>
      <c r="EC15" s="71"/>
      <c r="ED15" s="71"/>
      <c r="EE15" s="71"/>
      <c r="EF15" s="71"/>
      <c r="EG15" s="71"/>
      <c r="EH15" s="71"/>
      <c r="EI15" s="71"/>
    </row>
    <row r="16" spans="1:139" s="47" customFormat="1" ht="39.75" customHeight="1">
      <c r="A16" s="50">
        <v>35</v>
      </c>
      <c r="B16" s="54">
        <v>43759</v>
      </c>
      <c r="C16" s="55">
        <v>43759.533333333333</v>
      </c>
      <c r="D16" s="56">
        <v>26196564</v>
      </c>
      <c r="E16" s="50" t="s">
        <v>176</v>
      </c>
      <c r="F16" s="47" t="b">
        <v>1</v>
      </c>
      <c r="H16" s="50" t="s">
        <v>129</v>
      </c>
      <c r="I16" s="54">
        <v>23016</v>
      </c>
      <c r="J16" s="76">
        <v>56.830136986301369</v>
      </c>
      <c r="K16" s="76">
        <v>682.33552631578948</v>
      </c>
      <c r="L16" s="50" t="s">
        <v>166</v>
      </c>
      <c r="M16" s="186" t="s">
        <v>177</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v>0</v>
      </c>
      <c r="AK16" s="323">
        <f t="shared" si="0"/>
        <v>0</v>
      </c>
      <c r="AL16" s="186"/>
      <c r="AM16" s="58">
        <v>43756</v>
      </c>
      <c r="AN16" s="52" t="s">
        <v>1525</v>
      </c>
      <c r="AO16" s="54">
        <v>43808</v>
      </c>
      <c r="AP16" s="50" t="s">
        <v>1526</v>
      </c>
      <c r="AQ16" s="58">
        <v>43756</v>
      </c>
      <c r="AR16" s="52">
        <v>1</v>
      </c>
      <c r="AS16" s="52" t="s">
        <v>1527</v>
      </c>
      <c r="AT16" s="323">
        <v>0</v>
      </c>
      <c r="AU16" s="52">
        <v>0</v>
      </c>
      <c r="AV16" s="52">
        <v>0</v>
      </c>
      <c r="AW16" s="52">
        <v>1</v>
      </c>
      <c r="AX16" s="50" t="s">
        <v>178</v>
      </c>
      <c r="AY16" s="70"/>
      <c r="AZ16" s="70" t="s">
        <v>1514</v>
      </c>
      <c r="BA16" s="47">
        <v>0</v>
      </c>
      <c r="BB16" s="69">
        <v>1</v>
      </c>
      <c r="BC16" s="69"/>
      <c r="BD16" s="69">
        <v>1</v>
      </c>
      <c r="BE16" s="69">
        <v>0</v>
      </c>
      <c r="BF16" s="234">
        <v>0</v>
      </c>
      <c r="BG16" s="766">
        <v>0</v>
      </c>
      <c r="BH16" s="766"/>
      <c r="BI16" s="223">
        <v>0</v>
      </c>
      <c r="BJ16" s="70"/>
      <c r="BK16" s="70">
        <v>0</v>
      </c>
      <c r="BL16" s="70"/>
      <c r="BM16" s="70">
        <v>0</v>
      </c>
      <c r="BN16" s="70"/>
      <c r="BO16" s="70">
        <v>0</v>
      </c>
      <c r="BP16" s="70">
        <v>0</v>
      </c>
      <c r="BQ16" s="70">
        <v>0</v>
      </c>
      <c r="BR16" s="70">
        <v>0</v>
      </c>
      <c r="BS16" s="240">
        <v>0</v>
      </c>
      <c r="BT16" s="223">
        <v>1</v>
      </c>
      <c r="BU16" s="70" t="s">
        <v>1528</v>
      </c>
      <c r="BV16" s="70">
        <v>0</v>
      </c>
      <c r="BW16" s="70">
        <v>0</v>
      </c>
      <c r="BX16" s="70">
        <v>0</v>
      </c>
      <c r="BY16" s="70"/>
      <c r="BZ16" s="70"/>
      <c r="CA16" s="70"/>
      <c r="CB16" s="70">
        <v>0</v>
      </c>
      <c r="CC16" s="70">
        <v>0</v>
      </c>
      <c r="CD16" s="70">
        <v>0</v>
      </c>
      <c r="CE16" s="70"/>
      <c r="CF16" s="70"/>
      <c r="CG16" s="70"/>
      <c r="CH16" s="70">
        <v>0</v>
      </c>
      <c r="CI16" s="70"/>
      <c r="CJ16" s="70">
        <v>0</v>
      </c>
      <c r="CK16" s="70">
        <v>0</v>
      </c>
      <c r="CL16" s="70">
        <v>0</v>
      </c>
      <c r="CM16" s="47">
        <v>96</v>
      </c>
      <c r="CN16" s="47">
        <v>70</v>
      </c>
      <c r="CP16" s="504">
        <v>30.7</v>
      </c>
      <c r="CQ16" s="504">
        <v>32.9</v>
      </c>
      <c r="CR16" s="54">
        <v>43756</v>
      </c>
      <c r="CS16" s="54">
        <v>43780</v>
      </c>
      <c r="CT16" s="78">
        <v>21</v>
      </c>
      <c r="CU16" s="79">
        <v>44230</v>
      </c>
      <c r="CV16" s="59">
        <v>0</v>
      </c>
      <c r="CW16" s="54"/>
      <c r="CX16" s="59">
        <v>0</v>
      </c>
      <c r="CY16" s="59">
        <v>0</v>
      </c>
      <c r="CZ16" s="59">
        <v>0</v>
      </c>
      <c r="DA16" s="54"/>
      <c r="DB16" s="59">
        <v>0</v>
      </c>
      <c r="DC16" s="54"/>
      <c r="DD16" s="59">
        <v>0</v>
      </c>
      <c r="DE16" s="54"/>
      <c r="DF16" s="59">
        <v>0</v>
      </c>
      <c r="DG16" s="54"/>
      <c r="DH16" s="54"/>
      <c r="DI16" s="70"/>
      <c r="DJ16" s="70"/>
      <c r="DK16" s="70"/>
      <c r="DL16" s="70"/>
      <c r="DM16" s="70"/>
      <c r="DN16" s="70"/>
      <c r="DO16" s="70"/>
      <c r="DP16" s="70"/>
      <c r="DQ16" s="70"/>
      <c r="DR16" s="70"/>
      <c r="DS16" s="70"/>
      <c r="DT16" s="70"/>
      <c r="DU16" s="70"/>
      <c r="DV16" s="70"/>
      <c r="DW16" s="70"/>
      <c r="DX16" s="70"/>
      <c r="DY16" s="70"/>
      <c r="DZ16" s="70"/>
      <c r="EA16" s="70"/>
      <c r="EB16" s="70"/>
      <c r="EC16" s="70"/>
      <c r="ED16" s="70"/>
      <c r="EE16" s="70"/>
      <c r="EF16" s="70"/>
      <c r="EG16" s="70"/>
      <c r="EH16" s="70"/>
      <c r="EI16" s="70"/>
    </row>
    <row r="17" spans="1:139" s="48" customFormat="1" ht="39.75" customHeight="1">
      <c r="A17" s="60">
        <v>37</v>
      </c>
      <c r="B17" s="61">
        <v>43740</v>
      </c>
      <c r="C17" s="62">
        <v>43740.602777777778</v>
      </c>
      <c r="D17" s="63">
        <v>42991675</v>
      </c>
      <c r="E17" s="60" t="s">
        <v>179</v>
      </c>
      <c r="F17" s="48" t="b">
        <v>0</v>
      </c>
      <c r="G17" s="48" t="s">
        <v>1529</v>
      </c>
      <c r="H17" s="60" t="s">
        <v>129</v>
      </c>
      <c r="I17" s="61">
        <v>26819</v>
      </c>
      <c r="J17" s="81">
        <v>46.358904109589041</v>
      </c>
      <c r="K17" s="81">
        <v>556.61184210526324</v>
      </c>
      <c r="L17" s="60" t="s">
        <v>166</v>
      </c>
      <c r="M17" s="187" t="s">
        <v>180</v>
      </c>
      <c r="N17" s="48">
        <v>164</v>
      </c>
      <c r="O17" s="48">
        <v>52.4</v>
      </c>
      <c r="P17" s="48">
        <f t="shared" si="1"/>
        <v>19.4824509220702</v>
      </c>
      <c r="Q17" s="51"/>
      <c r="V17" s="51"/>
      <c r="Y17" s="216"/>
      <c r="Z17" s="336"/>
      <c r="AA17" s="324"/>
      <c r="AB17" s="324"/>
      <c r="AC17" s="324"/>
      <c r="AD17" s="324"/>
      <c r="AE17" s="324"/>
      <c r="AF17" s="324"/>
      <c r="AG17" s="324"/>
      <c r="AH17" s="324"/>
      <c r="AI17" s="324"/>
      <c r="AJ17" s="324"/>
      <c r="AK17" s="324">
        <f t="shared" si="0"/>
        <v>0</v>
      </c>
      <c r="AL17" s="187"/>
      <c r="AM17" s="191"/>
      <c r="AN17" s="51"/>
      <c r="AO17" s="61"/>
      <c r="AP17" s="60"/>
      <c r="AQ17" s="191"/>
      <c r="AR17" s="51"/>
      <c r="AS17" s="51"/>
      <c r="AT17" s="324"/>
      <c r="AU17" s="51"/>
      <c r="AV17" s="51"/>
      <c r="AW17" s="51"/>
      <c r="AX17" s="60" t="s">
        <v>181</v>
      </c>
      <c r="AY17" s="71"/>
      <c r="AZ17" s="71">
        <v>1</v>
      </c>
      <c r="BB17" s="82"/>
      <c r="BC17" s="82"/>
      <c r="BD17" s="82"/>
      <c r="BE17" s="82"/>
      <c r="BF17" s="235"/>
      <c r="BG17" s="767"/>
      <c r="BH17" s="767"/>
      <c r="BI17" s="224"/>
      <c r="BJ17" s="71"/>
      <c r="BK17" s="71"/>
      <c r="BL17" s="71"/>
      <c r="BM17" s="71"/>
      <c r="BN17" s="71"/>
      <c r="BO17" s="71"/>
      <c r="BP17" s="71"/>
      <c r="BQ17" s="71"/>
      <c r="BR17" s="71"/>
      <c r="BS17" s="241"/>
      <c r="BT17" s="224" t="s">
        <v>168</v>
      </c>
      <c r="BU17" s="71"/>
      <c r="BV17" s="71"/>
      <c r="BW17" s="71"/>
      <c r="BX17" s="71"/>
      <c r="BY17" s="71"/>
      <c r="BZ17" s="71"/>
      <c r="CA17" s="71"/>
      <c r="CB17" s="71"/>
      <c r="CC17" s="71"/>
      <c r="CD17" s="71"/>
      <c r="CE17" s="71"/>
      <c r="CF17" s="71"/>
      <c r="CG17" s="71"/>
      <c r="CH17" s="71"/>
      <c r="CI17" s="71"/>
      <c r="CJ17" s="71"/>
      <c r="CK17" s="71"/>
      <c r="CL17" s="71"/>
      <c r="CM17" s="48">
        <v>108</v>
      </c>
      <c r="CN17" s="48">
        <v>89</v>
      </c>
      <c r="CP17" s="505">
        <v>33.1</v>
      </c>
      <c r="CQ17" s="505">
        <v>29.5</v>
      </c>
      <c r="CR17" s="61">
        <v>43732</v>
      </c>
      <c r="CS17" s="61">
        <v>43749</v>
      </c>
      <c r="CT17" s="83">
        <v>9</v>
      </c>
      <c r="CU17" s="84"/>
      <c r="CV17" s="65"/>
      <c r="CW17" s="61"/>
      <c r="CX17" s="65"/>
      <c r="CY17" s="65"/>
      <c r="CZ17" s="65"/>
      <c r="DA17" s="61"/>
      <c r="DB17" s="65"/>
      <c r="DC17" s="61"/>
      <c r="DD17" s="65"/>
      <c r="DE17" s="61"/>
      <c r="DF17" s="65"/>
      <c r="DG17" s="61"/>
      <c r="DH17" s="61"/>
      <c r="DI17" s="71"/>
      <c r="DJ17" s="71"/>
      <c r="DK17" s="71"/>
      <c r="DL17" s="71"/>
      <c r="DM17" s="71"/>
      <c r="DN17" s="71"/>
      <c r="DO17" s="71"/>
      <c r="DP17" s="71"/>
      <c r="DQ17" s="71"/>
      <c r="DR17" s="71"/>
      <c r="DS17" s="71"/>
      <c r="DT17" s="71"/>
      <c r="DU17" s="71"/>
      <c r="DV17" s="71"/>
      <c r="DW17" s="71"/>
      <c r="DX17" s="71"/>
      <c r="DY17" s="71"/>
      <c r="DZ17" s="71"/>
      <c r="EA17" s="71"/>
      <c r="EB17" s="71"/>
      <c r="EC17" s="71"/>
      <c r="ED17" s="71"/>
      <c r="EE17" s="71"/>
      <c r="EF17" s="71"/>
      <c r="EG17" s="71"/>
      <c r="EH17" s="71"/>
      <c r="EI17" s="71"/>
    </row>
    <row r="18" spans="1:139" s="47" customFormat="1" ht="39.75" customHeight="1">
      <c r="A18" s="50">
        <v>39</v>
      </c>
      <c r="B18" s="54">
        <v>43714</v>
      </c>
      <c r="C18" s="55">
        <v>43714.327777777777</v>
      </c>
      <c r="D18" s="56">
        <v>42916294</v>
      </c>
      <c r="E18" s="50" t="s">
        <v>182</v>
      </c>
      <c r="F18" s="47" t="b">
        <v>1</v>
      </c>
      <c r="H18" s="50" t="s">
        <v>129</v>
      </c>
      <c r="I18" s="54">
        <v>30072</v>
      </c>
      <c r="J18" s="76">
        <v>37.375342465753427</v>
      </c>
      <c r="K18" s="76">
        <v>448.75</v>
      </c>
      <c r="L18" s="50" t="s">
        <v>114</v>
      </c>
      <c r="M18" s="186" t="s">
        <v>183</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v>0</v>
      </c>
      <c r="AK18" s="323">
        <f t="shared" si="0"/>
        <v>0</v>
      </c>
      <c r="AL18" s="186"/>
      <c r="AM18" s="58">
        <v>43697</v>
      </c>
      <c r="AN18" s="52" t="s">
        <v>1530</v>
      </c>
      <c r="AO18" s="54">
        <v>43736</v>
      </c>
      <c r="AP18" s="50" t="s">
        <v>1531</v>
      </c>
      <c r="AQ18" s="58">
        <v>43693</v>
      </c>
      <c r="AR18" s="52">
        <v>0</v>
      </c>
      <c r="AS18" s="52"/>
      <c r="AT18" s="323">
        <v>0</v>
      </c>
      <c r="AU18" s="52">
        <v>1</v>
      </c>
      <c r="AV18" s="52">
        <v>0</v>
      </c>
      <c r="AW18" s="52">
        <v>0</v>
      </c>
      <c r="AX18" s="52" t="s">
        <v>184</v>
      </c>
      <c r="AY18" s="70"/>
      <c r="AZ18" s="70" t="s">
        <v>1503</v>
      </c>
      <c r="BA18" s="47">
        <v>0</v>
      </c>
      <c r="BB18" s="69">
        <v>1</v>
      </c>
      <c r="BC18" s="69"/>
      <c r="BD18" s="69">
        <v>1</v>
      </c>
      <c r="BE18" s="69">
        <v>0</v>
      </c>
      <c r="BF18" s="234">
        <v>1</v>
      </c>
      <c r="BG18" s="766">
        <v>0</v>
      </c>
      <c r="BH18" s="766"/>
      <c r="BI18" s="223">
        <v>0</v>
      </c>
      <c r="BJ18" s="70"/>
      <c r="BK18" s="70">
        <v>0</v>
      </c>
      <c r="BL18" s="70"/>
      <c r="BM18" s="70">
        <v>0</v>
      </c>
      <c r="BN18" s="70"/>
      <c r="BO18" s="70">
        <v>0</v>
      </c>
      <c r="BP18" s="70">
        <v>0</v>
      </c>
      <c r="BQ18" s="70">
        <v>0</v>
      </c>
      <c r="BR18" s="70">
        <v>0</v>
      </c>
      <c r="BS18" s="240">
        <v>0</v>
      </c>
      <c r="BT18" s="223">
        <v>1</v>
      </c>
      <c r="BU18" s="70" t="s">
        <v>1532</v>
      </c>
      <c r="BV18" s="70">
        <v>0</v>
      </c>
      <c r="BW18" s="70">
        <v>0</v>
      </c>
      <c r="BX18" s="70">
        <v>0</v>
      </c>
      <c r="BY18" s="70"/>
      <c r="BZ18" s="70"/>
      <c r="CA18" s="70"/>
      <c r="CB18" s="70">
        <v>0</v>
      </c>
      <c r="CC18" s="70">
        <v>0</v>
      </c>
      <c r="CD18" s="70">
        <v>0</v>
      </c>
      <c r="CE18" s="70"/>
      <c r="CF18" s="70"/>
      <c r="CG18" s="70"/>
      <c r="CH18" s="70">
        <v>1</v>
      </c>
      <c r="CI18" s="70"/>
      <c r="CJ18" s="70">
        <v>0</v>
      </c>
      <c r="CK18" s="70">
        <v>1</v>
      </c>
      <c r="CL18" s="70">
        <v>0</v>
      </c>
      <c r="CM18" s="47">
        <v>117</v>
      </c>
      <c r="CN18" s="47">
        <v>93</v>
      </c>
      <c r="CP18" s="504">
        <v>29.9</v>
      </c>
      <c r="CQ18" s="504">
        <v>30.7</v>
      </c>
      <c r="CR18" s="54">
        <v>43713</v>
      </c>
      <c r="CS18" s="54">
        <v>43727</v>
      </c>
      <c r="CT18" s="78">
        <v>13</v>
      </c>
      <c r="CU18" s="79">
        <v>44060</v>
      </c>
      <c r="CV18" s="59">
        <v>0</v>
      </c>
      <c r="CW18" s="54"/>
      <c r="CX18" s="59">
        <v>0</v>
      </c>
      <c r="CY18" s="59">
        <v>0</v>
      </c>
      <c r="CZ18" s="59">
        <v>0</v>
      </c>
      <c r="DA18" s="54"/>
      <c r="DB18" s="59">
        <v>0</v>
      </c>
      <c r="DC18" s="54"/>
      <c r="DD18" s="59">
        <v>0</v>
      </c>
      <c r="DE18" s="54"/>
      <c r="DF18" s="59">
        <v>0</v>
      </c>
      <c r="DG18" s="54"/>
      <c r="DH18" s="54"/>
      <c r="DI18" s="70"/>
      <c r="DJ18" s="70"/>
      <c r="DK18" s="70"/>
      <c r="DL18" s="70"/>
      <c r="DM18" s="70"/>
      <c r="DN18" s="70"/>
      <c r="DO18" s="70"/>
      <c r="DP18" s="70"/>
      <c r="DQ18" s="70"/>
      <c r="DR18" s="70"/>
      <c r="DS18" s="70"/>
      <c r="DT18" s="70"/>
      <c r="DU18" s="70"/>
      <c r="DV18" s="70"/>
      <c r="DW18" s="70"/>
      <c r="DX18" s="70"/>
      <c r="DY18" s="70"/>
      <c r="DZ18" s="70"/>
      <c r="EA18" s="70"/>
      <c r="EB18" s="70"/>
      <c r="EC18" s="70"/>
      <c r="ED18" s="70"/>
      <c r="EE18" s="70"/>
      <c r="EF18" s="70"/>
      <c r="EG18" s="70"/>
      <c r="EH18" s="70"/>
      <c r="EI18" s="70"/>
    </row>
    <row r="19" spans="1:139" s="47" customFormat="1" ht="39.75" customHeight="1">
      <c r="A19" s="50">
        <v>43</v>
      </c>
      <c r="B19" s="54">
        <v>43699</v>
      </c>
      <c r="C19" s="55">
        <v>43699.316666666666</v>
      </c>
      <c r="D19" s="56">
        <v>24203002</v>
      </c>
      <c r="E19" s="50" t="s">
        <v>185</v>
      </c>
      <c r="F19" s="47" t="b">
        <v>1</v>
      </c>
      <c r="H19" s="50" t="s">
        <v>129</v>
      </c>
      <c r="I19" s="54">
        <v>21096</v>
      </c>
      <c r="J19" s="76">
        <v>61.926027397260277</v>
      </c>
      <c r="K19" s="76">
        <v>743.51973684210532</v>
      </c>
      <c r="L19" s="50" t="s">
        <v>114</v>
      </c>
      <c r="M19" s="186" t="s">
        <v>186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v>0</v>
      </c>
      <c r="AK19" s="323">
        <f t="shared" si="0"/>
        <v>0</v>
      </c>
      <c r="AL19" s="186"/>
      <c r="AM19" s="58">
        <v>43689</v>
      </c>
      <c r="AN19" s="52" t="s">
        <v>1533</v>
      </c>
      <c r="AO19" s="54">
        <v>43738</v>
      </c>
      <c r="AP19" s="50" t="s">
        <v>187</v>
      </c>
      <c r="AQ19" s="58">
        <v>43689</v>
      </c>
      <c r="AR19" s="52">
        <v>1</v>
      </c>
      <c r="AS19" s="52" t="s">
        <v>188</v>
      </c>
      <c r="AT19" s="323">
        <v>0</v>
      </c>
      <c r="AU19" s="52">
        <v>0</v>
      </c>
      <c r="AV19" s="52">
        <v>0</v>
      </c>
      <c r="AW19" s="52">
        <v>1</v>
      </c>
      <c r="AX19" s="52" t="s">
        <v>189</v>
      </c>
      <c r="AY19" s="70"/>
      <c r="AZ19" s="70" t="s">
        <v>1534</v>
      </c>
      <c r="BA19" s="47">
        <v>0</v>
      </c>
      <c r="BB19" s="69">
        <v>1</v>
      </c>
      <c r="BC19" s="69"/>
      <c r="BD19" s="69">
        <v>1</v>
      </c>
      <c r="BE19" s="69">
        <v>0</v>
      </c>
      <c r="BF19" s="234">
        <v>1</v>
      </c>
      <c r="BG19" s="766">
        <v>0</v>
      </c>
      <c r="BH19" s="766"/>
      <c r="BI19" s="223">
        <v>1</v>
      </c>
      <c r="BJ19" s="70"/>
      <c r="BK19" s="70">
        <v>0</v>
      </c>
      <c r="BL19" s="70"/>
      <c r="BM19" s="47">
        <v>1</v>
      </c>
      <c r="BN19" s="80" t="s">
        <v>1535</v>
      </c>
      <c r="BO19" s="80">
        <v>0</v>
      </c>
      <c r="BP19" s="80">
        <v>0</v>
      </c>
      <c r="BQ19" s="80">
        <v>1</v>
      </c>
      <c r="BR19" s="80">
        <v>0</v>
      </c>
      <c r="BS19" s="240">
        <v>0</v>
      </c>
      <c r="BT19" s="223">
        <v>0</v>
      </c>
      <c r="BU19" s="70"/>
      <c r="BV19" s="70">
        <v>0</v>
      </c>
      <c r="BW19" s="70">
        <v>0</v>
      </c>
      <c r="BX19" s="70">
        <v>0</v>
      </c>
      <c r="BY19" s="70"/>
      <c r="BZ19" s="70"/>
      <c r="CA19" s="70"/>
      <c r="CB19" s="77">
        <v>0</v>
      </c>
      <c r="CC19" s="77">
        <v>0</v>
      </c>
      <c r="CD19" s="77">
        <v>0</v>
      </c>
      <c r="CE19" s="77"/>
      <c r="CF19" s="77"/>
      <c r="CG19" s="70"/>
      <c r="CH19" s="70">
        <v>0</v>
      </c>
      <c r="CI19" s="70"/>
      <c r="CJ19" s="70">
        <v>0</v>
      </c>
      <c r="CK19" s="70">
        <v>0</v>
      </c>
      <c r="CL19" s="70">
        <v>0</v>
      </c>
      <c r="CM19" s="47">
        <v>72</v>
      </c>
      <c r="CN19" s="47">
        <v>44</v>
      </c>
      <c r="CP19" s="504">
        <v>29.4</v>
      </c>
      <c r="CQ19" s="504">
        <v>32</v>
      </c>
      <c r="CR19" s="54">
        <v>43696</v>
      </c>
      <c r="CS19" s="54">
        <v>43724</v>
      </c>
      <c r="CT19" s="78">
        <v>25</v>
      </c>
      <c r="CU19" s="79">
        <v>43802</v>
      </c>
      <c r="CV19" s="59">
        <v>0</v>
      </c>
      <c r="CW19" s="54"/>
      <c r="CX19" s="59">
        <v>0</v>
      </c>
      <c r="CY19" s="59">
        <v>0</v>
      </c>
      <c r="CZ19" s="59">
        <v>0</v>
      </c>
      <c r="DA19" s="54"/>
      <c r="DB19" s="59">
        <v>0</v>
      </c>
      <c r="DC19" s="54"/>
      <c r="DD19" s="59">
        <v>0</v>
      </c>
      <c r="DE19" s="54"/>
      <c r="DF19" s="59">
        <v>0</v>
      </c>
      <c r="DG19" s="54"/>
      <c r="DH19" s="66"/>
      <c r="DI19" s="70"/>
      <c r="DJ19" s="70"/>
      <c r="DK19" s="70"/>
      <c r="DL19" s="70"/>
      <c r="DM19" s="70"/>
      <c r="DN19" s="70"/>
      <c r="DO19" s="70"/>
      <c r="DP19" s="70"/>
      <c r="DQ19" s="70"/>
      <c r="DR19" s="70"/>
      <c r="DS19" s="70"/>
      <c r="DT19" s="70"/>
      <c r="DU19" s="70"/>
      <c r="DV19" s="70"/>
      <c r="DW19" s="70"/>
      <c r="DX19" s="70"/>
      <c r="DY19" s="70"/>
      <c r="DZ19" s="70"/>
      <c r="EA19" s="70"/>
      <c r="EB19" s="70"/>
      <c r="EC19" s="70"/>
      <c r="ED19" s="70"/>
      <c r="EE19" s="70"/>
      <c r="EF19" s="70"/>
      <c r="EG19" s="70"/>
      <c r="EH19" s="70"/>
      <c r="EI19" s="70"/>
    </row>
    <row r="20" spans="1:139" s="47" customFormat="1" ht="39.75" customHeight="1">
      <c r="A20" s="50">
        <v>44</v>
      </c>
      <c r="B20" s="54">
        <v>43697</v>
      </c>
      <c r="C20" s="55">
        <v>43697.854166666664</v>
      </c>
      <c r="D20" s="56">
        <v>42884067</v>
      </c>
      <c r="E20" s="50" t="s">
        <v>190</v>
      </c>
      <c r="F20" s="47" t="b">
        <v>1</v>
      </c>
      <c r="H20" s="50" t="s">
        <v>113</v>
      </c>
      <c r="I20" s="54">
        <v>20413</v>
      </c>
      <c r="J20" s="76">
        <v>63.791780821917811</v>
      </c>
      <c r="K20" s="76">
        <v>765.92105263157896</v>
      </c>
      <c r="L20" s="50" t="s">
        <v>191</v>
      </c>
      <c r="M20" s="186" t="s">
        <v>192</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v>0</v>
      </c>
      <c r="AK20" s="323">
        <f t="shared" si="0"/>
        <v>1</v>
      </c>
      <c r="AL20" s="186"/>
      <c r="AM20" s="58">
        <v>43688</v>
      </c>
      <c r="AN20" s="52" t="s">
        <v>1536</v>
      </c>
      <c r="AO20" s="54">
        <v>43725</v>
      </c>
      <c r="AP20" s="50" t="s">
        <v>152</v>
      </c>
      <c r="AQ20" s="58">
        <v>43688</v>
      </c>
      <c r="AR20" s="52">
        <v>0</v>
      </c>
      <c r="AS20" s="52"/>
      <c r="AT20" s="323">
        <v>0</v>
      </c>
      <c r="AU20" s="52">
        <v>0</v>
      </c>
      <c r="AV20" s="52">
        <v>0</v>
      </c>
      <c r="AW20" s="52">
        <v>1</v>
      </c>
      <c r="AX20" s="52" t="s">
        <v>193</v>
      </c>
      <c r="AY20" s="70"/>
      <c r="AZ20" s="70" t="s">
        <v>1537</v>
      </c>
      <c r="BA20" s="47">
        <v>0</v>
      </c>
      <c r="BB20" s="69">
        <v>1</v>
      </c>
      <c r="BC20" s="69"/>
      <c r="BD20" s="69">
        <v>0</v>
      </c>
      <c r="BE20" s="69">
        <v>0</v>
      </c>
      <c r="BF20" s="234">
        <v>0</v>
      </c>
      <c r="BG20" s="766">
        <v>1</v>
      </c>
      <c r="BH20" s="766" t="s">
        <v>2004</v>
      </c>
      <c r="BI20" s="223">
        <v>1</v>
      </c>
      <c r="BJ20" s="70"/>
      <c r="BK20" s="70">
        <v>0</v>
      </c>
      <c r="BL20" s="70"/>
      <c r="BM20" s="80">
        <v>1</v>
      </c>
      <c r="BN20" s="80" t="s">
        <v>1538</v>
      </c>
      <c r="BO20" s="80">
        <v>0</v>
      </c>
      <c r="BP20" s="80">
        <v>1</v>
      </c>
      <c r="BQ20" s="80">
        <v>1</v>
      </c>
      <c r="BR20" s="80">
        <v>0</v>
      </c>
      <c r="BS20" s="240">
        <v>0</v>
      </c>
      <c r="BT20" s="223">
        <v>0</v>
      </c>
      <c r="BU20" s="70"/>
      <c r="BV20" s="70">
        <v>0</v>
      </c>
      <c r="BW20" s="70">
        <v>0</v>
      </c>
      <c r="BX20" s="70">
        <v>0</v>
      </c>
      <c r="BY20" s="70"/>
      <c r="BZ20" s="70"/>
      <c r="CA20" s="70"/>
      <c r="CB20" s="77">
        <v>0</v>
      </c>
      <c r="CC20" s="77">
        <v>0</v>
      </c>
      <c r="CD20" s="77">
        <v>0</v>
      </c>
      <c r="CE20" s="77"/>
      <c r="CF20" s="77"/>
      <c r="CG20" s="70"/>
      <c r="CH20" s="70">
        <v>0</v>
      </c>
      <c r="CI20" s="70"/>
      <c r="CJ20" s="70">
        <v>0</v>
      </c>
      <c r="CK20" s="70">
        <v>0</v>
      </c>
      <c r="CL20" s="70">
        <v>0</v>
      </c>
      <c r="CM20" s="47">
        <v>76</v>
      </c>
      <c r="CN20" s="47">
        <v>46</v>
      </c>
      <c r="CP20" s="504">
        <v>31.4</v>
      </c>
      <c r="CQ20" s="504">
        <v>33.200000000000003</v>
      </c>
      <c r="CR20" s="54">
        <v>43697</v>
      </c>
      <c r="CS20" s="54">
        <v>43710</v>
      </c>
      <c r="CT20" s="78">
        <v>13</v>
      </c>
      <c r="CU20" s="79">
        <v>43731</v>
      </c>
      <c r="CV20" s="59">
        <v>0</v>
      </c>
      <c r="CW20" s="54"/>
      <c r="CX20" s="59">
        <v>0</v>
      </c>
      <c r="CY20" s="59">
        <v>0</v>
      </c>
      <c r="CZ20" s="59">
        <v>0</v>
      </c>
      <c r="DA20" s="54"/>
      <c r="DB20" s="59">
        <v>0</v>
      </c>
      <c r="DC20" s="54"/>
      <c r="DD20" s="59">
        <v>0</v>
      </c>
      <c r="DE20" s="54"/>
      <c r="DF20" s="59">
        <v>0</v>
      </c>
      <c r="DG20" s="54"/>
      <c r="DH20" s="66"/>
      <c r="DI20" s="70"/>
      <c r="DJ20" s="70"/>
      <c r="DK20" s="70"/>
      <c r="DL20" s="70"/>
      <c r="DM20" s="70"/>
      <c r="DN20" s="70"/>
      <c r="DO20" s="70"/>
      <c r="DP20" s="70"/>
      <c r="DQ20" s="70"/>
      <c r="DR20" s="70"/>
      <c r="DS20" s="70"/>
      <c r="DT20" s="70"/>
      <c r="DU20" s="70"/>
      <c r="DV20" s="70"/>
      <c r="DW20" s="70"/>
      <c r="DX20" s="70"/>
      <c r="DY20" s="70"/>
      <c r="DZ20" s="70"/>
      <c r="EA20" s="70"/>
      <c r="EB20" s="70"/>
      <c r="EC20" s="70"/>
      <c r="ED20" s="70"/>
      <c r="EE20" s="70"/>
      <c r="EF20" s="70"/>
      <c r="EG20" s="70"/>
      <c r="EH20" s="70"/>
      <c r="EI20" s="70"/>
    </row>
    <row r="21" spans="1:139" s="47" customFormat="1" ht="39.75" customHeight="1">
      <c r="A21" s="50">
        <v>46</v>
      </c>
      <c r="B21" s="54">
        <v>43684</v>
      </c>
      <c r="C21" s="55">
        <v>43684.996527777781</v>
      </c>
      <c r="D21" s="56">
        <v>42859869</v>
      </c>
      <c r="E21" s="50" t="s">
        <v>194</v>
      </c>
      <c r="F21" s="47" t="b">
        <v>1</v>
      </c>
      <c r="H21" s="50" t="s">
        <v>129</v>
      </c>
      <c r="I21" s="54">
        <v>12889</v>
      </c>
      <c r="J21" s="76">
        <v>84.369863013698634</v>
      </c>
      <c r="K21" s="76">
        <v>1012.9934210526317</v>
      </c>
      <c r="L21" s="50" t="s">
        <v>166</v>
      </c>
      <c r="M21" s="186" t="s">
        <v>195</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v>0</v>
      </c>
      <c r="AK21" s="323">
        <f t="shared" si="0"/>
        <v>1</v>
      </c>
      <c r="AL21" s="186"/>
      <c r="AM21" s="58">
        <v>43680</v>
      </c>
      <c r="AN21" s="52" t="s">
        <v>1539</v>
      </c>
      <c r="AO21" s="54">
        <v>43728</v>
      </c>
      <c r="AP21" s="50" t="s">
        <v>1540</v>
      </c>
      <c r="AQ21" s="58">
        <v>43677</v>
      </c>
      <c r="AR21" s="52">
        <v>0</v>
      </c>
      <c r="AS21" s="52"/>
      <c r="AT21" s="323">
        <v>0</v>
      </c>
      <c r="AU21" s="52">
        <v>1</v>
      </c>
      <c r="AV21" s="52">
        <v>0</v>
      </c>
      <c r="AW21" s="52">
        <v>1</v>
      </c>
      <c r="AX21" s="52" t="s">
        <v>197</v>
      </c>
      <c r="AY21" s="70"/>
      <c r="AZ21" s="70" t="s">
        <v>1503</v>
      </c>
      <c r="BA21" s="47">
        <v>0</v>
      </c>
      <c r="BB21" s="69">
        <v>1</v>
      </c>
      <c r="BC21" s="69">
        <v>35</v>
      </c>
      <c r="BD21" s="69">
        <v>1</v>
      </c>
      <c r="BE21" s="69">
        <v>0</v>
      </c>
      <c r="BF21" s="234">
        <v>0</v>
      </c>
      <c r="BG21" s="766">
        <v>1</v>
      </c>
      <c r="BH21" s="766" t="s">
        <v>2004</v>
      </c>
      <c r="BI21" s="223">
        <v>0</v>
      </c>
      <c r="BJ21" s="70"/>
      <c r="BK21" s="70">
        <v>0</v>
      </c>
      <c r="BL21" s="70"/>
      <c r="BM21" s="70">
        <v>0</v>
      </c>
      <c r="BN21" s="70"/>
      <c r="BO21" s="70">
        <v>0</v>
      </c>
      <c r="BP21" s="70">
        <v>0</v>
      </c>
      <c r="BQ21" s="70">
        <v>0</v>
      </c>
      <c r="BR21" s="70">
        <v>0</v>
      </c>
      <c r="BS21" s="240">
        <v>0</v>
      </c>
      <c r="BT21" s="223">
        <v>1</v>
      </c>
      <c r="BU21" s="70" t="s">
        <v>1541</v>
      </c>
      <c r="BV21" s="70">
        <v>0</v>
      </c>
      <c r="BW21" s="70">
        <v>0</v>
      </c>
      <c r="BX21" s="70">
        <v>0</v>
      </c>
      <c r="BY21" s="70"/>
      <c r="BZ21" s="70"/>
      <c r="CA21" s="70"/>
      <c r="CB21" s="70">
        <v>0</v>
      </c>
      <c r="CC21" s="70">
        <v>1</v>
      </c>
      <c r="CD21" s="70">
        <v>0</v>
      </c>
      <c r="CE21" s="70"/>
      <c r="CF21" s="70" t="s">
        <v>1542</v>
      </c>
      <c r="CG21" s="70" t="s">
        <v>1543</v>
      </c>
      <c r="CH21" s="70">
        <v>0</v>
      </c>
      <c r="CI21" s="70"/>
      <c r="CJ21" s="70">
        <v>0</v>
      </c>
      <c r="CK21" s="70">
        <v>0</v>
      </c>
      <c r="CL21" s="70">
        <v>0</v>
      </c>
      <c r="CM21" s="47">
        <v>243</v>
      </c>
      <c r="CN21" s="47">
        <v>171</v>
      </c>
      <c r="CP21" s="504">
        <v>29.1</v>
      </c>
      <c r="CQ21" s="504">
        <v>30</v>
      </c>
      <c r="CR21" s="54">
        <v>43684</v>
      </c>
      <c r="CS21" s="54">
        <v>43703</v>
      </c>
      <c r="CT21" s="78">
        <v>19</v>
      </c>
      <c r="CU21" s="79">
        <v>43844</v>
      </c>
      <c r="CV21" s="59">
        <v>0</v>
      </c>
      <c r="CW21" s="54"/>
      <c r="CX21" s="59">
        <v>0</v>
      </c>
      <c r="CY21" s="59">
        <v>0</v>
      </c>
      <c r="CZ21" s="59">
        <v>0</v>
      </c>
      <c r="DA21" s="54"/>
      <c r="DB21" s="59">
        <v>0</v>
      </c>
      <c r="DC21" s="54"/>
      <c r="DD21" s="59">
        <v>0</v>
      </c>
      <c r="DE21" s="54"/>
      <c r="DF21" s="59">
        <v>0</v>
      </c>
      <c r="DG21" s="54"/>
      <c r="DH21" s="54"/>
      <c r="DI21" s="70"/>
      <c r="DJ21" s="70"/>
      <c r="DK21" s="70"/>
      <c r="DL21" s="70"/>
      <c r="DM21" s="70"/>
      <c r="DN21" s="70"/>
      <c r="DO21" s="70"/>
      <c r="DP21" s="70"/>
      <c r="DQ21" s="70"/>
      <c r="DR21" s="70"/>
      <c r="DS21" s="70"/>
      <c r="DT21" s="70"/>
      <c r="DU21" s="70"/>
      <c r="DV21" s="70"/>
      <c r="DW21" s="70"/>
      <c r="DX21" s="70"/>
      <c r="DY21" s="70"/>
      <c r="DZ21" s="70"/>
      <c r="EA21" s="70"/>
      <c r="EB21" s="70"/>
      <c r="EC21" s="70"/>
      <c r="ED21" s="70"/>
      <c r="EE21" s="70"/>
      <c r="EF21" s="70"/>
      <c r="EG21" s="70"/>
      <c r="EH21" s="70"/>
      <c r="EI21" s="70"/>
    </row>
    <row r="22" spans="1:139" s="47" customFormat="1" ht="39.75" customHeight="1">
      <c r="A22" s="50">
        <v>47</v>
      </c>
      <c r="B22" s="54">
        <v>43673</v>
      </c>
      <c r="C22" s="55">
        <v>43673.645833333336</v>
      </c>
      <c r="D22" s="56">
        <v>42748972</v>
      </c>
      <c r="E22" s="50" t="s">
        <v>198</v>
      </c>
      <c r="F22" s="47" t="b">
        <v>1</v>
      </c>
      <c r="H22" s="50" t="s">
        <v>113</v>
      </c>
      <c r="I22" s="54">
        <v>28428</v>
      </c>
      <c r="J22" s="76">
        <v>41.767123287671232</v>
      </c>
      <c r="K22" s="76">
        <v>501.48026315789474</v>
      </c>
      <c r="L22" s="50" t="s">
        <v>166</v>
      </c>
      <c r="M22" s="186" t="s">
        <v>199</v>
      </c>
      <c r="N22" s="47">
        <v>167.1</v>
      </c>
      <c r="O22" s="47">
        <v>73.900000000000006</v>
      </c>
      <c r="P22" s="47">
        <f t="shared" si="1"/>
        <v>26.466196864812172</v>
      </c>
      <c r="Q22" s="58">
        <v>43654</v>
      </c>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v>0</v>
      </c>
      <c r="AK22" s="323">
        <f t="shared" si="0"/>
        <v>1</v>
      </c>
      <c r="AL22" s="186"/>
      <c r="AM22" s="58">
        <v>43668</v>
      </c>
      <c r="AN22" s="52" t="s">
        <v>1536</v>
      </c>
      <c r="AO22" s="54">
        <v>43701</v>
      </c>
      <c r="AP22" s="50" t="s">
        <v>152</v>
      </c>
      <c r="AQ22" s="58">
        <v>43655</v>
      </c>
      <c r="AR22" s="52">
        <v>0</v>
      </c>
      <c r="AS22" s="52"/>
      <c r="AT22" s="323">
        <v>0</v>
      </c>
      <c r="AU22" s="52">
        <v>1</v>
      </c>
      <c r="AV22" s="52">
        <v>0</v>
      </c>
      <c r="AW22" s="52">
        <v>0</v>
      </c>
      <c r="AX22" s="50" t="s">
        <v>200</v>
      </c>
      <c r="AY22" s="70"/>
      <c r="AZ22" s="70" t="s">
        <v>1537</v>
      </c>
      <c r="BA22" s="47">
        <v>0</v>
      </c>
      <c r="BB22" s="69">
        <v>1</v>
      </c>
      <c r="BC22" s="69"/>
      <c r="BD22" s="69">
        <v>0</v>
      </c>
      <c r="BE22" s="69">
        <v>0</v>
      </c>
      <c r="BF22" s="234">
        <v>1</v>
      </c>
      <c r="BG22" s="766">
        <v>0</v>
      </c>
      <c r="BH22" s="766"/>
      <c r="BI22" s="223">
        <v>0</v>
      </c>
      <c r="BJ22" s="70"/>
      <c r="BK22" s="70">
        <v>0</v>
      </c>
      <c r="BL22" s="70"/>
      <c r="BM22" s="70">
        <v>0</v>
      </c>
      <c r="BN22" s="70"/>
      <c r="BO22" s="70">
        <v>0</v>
      </c>
      <c r="BP22" s="70">
        <v>0</v>
      </c>
      <c r="BQ22" s="70">
        <v>0</v>
      </c>
      <c r="BR22" s="70">
        <v>0</v>
      </c>
      <c r="BS22" s="240">
        <v>0</v>
      </c>
      <c r="BT22" s="223">
        <v>1</v>
      </c>
      <c r="BU22" s="70" t="s">
        <v>1544</v>
      </c>
      <c r="BV22" s="70">
        <v>0</v>
      </c>
      <c r="BW22" s="70">
        <v>0</v>
      </c>
      <c r="BX22" s="70">
        <v>0</v>
      </c>
      <c r="BY22" s="70"/>
      <c r="BZ22" s="70"/>
      <c r="CA22" s="70"/>
      <c r="CB22" s="70">
        <v>0</v>
      </c>
      <c r="CC22" s="70">
        <v>0</v>
      </c>
      <c r="CD22" s="70">
        <v>0</v>
      </c>
      <c r="CE22" s="70"/>
      <c r="CF22" s="70"/>
      <c r="CG22" s="70"/>
      <c r="CH22" s="70">
        <v>0</v>
      </c>
      <c r="CI22" s="70"/>
      <c r="CJ22" s="70">
        <v>0</v>
      </c>
      <c r="CK22" s="70">
        <v>0</v>
      </c>
      <c r="CL22" s="70">
        <v>0</v>
      </c>
      <c r="CM22" s="47">
        <v>101</v>
      </c>
      <c r="CN22" s="47">
        <v>76</v>
      </c>
      <c r="CP22" s="504">
        <v>30.7</v>
      </c>
      <c r="CQ22" s="504">
        <v>32.200000000000003</v>
      </c>
      <c r="CR22" s="54">
        <v>43670</v>
      </c>
      <c r="CS22" s="54">
        <v>43684</v>
      </c>
      <c r="CT22" s="78">
        <v>11</v>
      </c>
      <c r="CU22" s="79">
        <v>44139</v>
      </c>
      <c r="CV22" s="59">
        <v>0</v>
      </c>
      <c r="CW22" s="54"/>
      <c r="CX22" s="59">
        <v>0</v>
      </c>
      <c r="CY22" s="59">
        <v>0</v>
      </c>
      <c r="CZ22" s="59">
        <v>0</v>
      </c>
      <c r="DA22" s="54"/>
      <c r="DB22" s="59">
        <v>0</v>
      </c>
      <c r="DC22" s="54"/>
      <c r="DD22" s="59">
        <v>0</v>
      </c>
      <c r="DE22" s="54"/>
      <c r="DF22" s="59">
        <v>0</v>
      </c>
      <c r="DG22" s="54"/>
      <c r="DH22" s="54"/>
      <c r="DI22" s="70"/>
      <c r="DJ22" s="70"/>
      <c r="DK22" s="70"/>
      <c r="DL22" s="70"/>
      <c r="DM22" s="70"/>
      <c r="DN22" s="70"/>
      <c r="DO22" s="70"/>
      <c r="DP22" s="70"/>
      <c r="DQ22" s="70"/>
      <c r="DR22" s="70"/>
      <c r="DS22" s="70"/>
      <c r="DT22" s="70"/>
      <c r="DU22" s="70"/>
      <c r="DV22" s="70"/>
      <c r="DW22" s="70"/>
      <c r="DX22" s="70"/>
      <c r="DY22" s="70"/>
      <c r="DZ22" s="70"/>
      <c r="EA22" s="70"/>
      <c r="EB22" s="70"/>
      <c r="EC22" s="70"/>
      <c r="ED22" s="70"/>
      <c r="EE22" s="70"/>
      <c r="EF22" s="70"/>
      <c r="EG22" s="70"/>
      <c r="EH22" s="70"/>
      <c r="EI22" s="70"/>
    </row>
    <row r="23" spans="1:139" s="47" customFormat="1" ht="39.75" customHeight="1">
      <c r="A23" s="50">
        <v>48</v>
      </c>
      <c r="B23" s="54">
        <v>43664</v>
      </c>
      <c r="C23" s="55">
        <v>43664.302777777775</v>
      </c>
      <c r="D23" s="56">
        <v>9199979</v>
      </c>
      <c r="E23" s="50" t="s">
        <v>201</v>
      </c>
      <c r="F23" s="47" t="b">
        <v>1</v>
      </c>
      <c r="H23" s="50" t="s">
        <v>113</v>
      </c>
      <c r="I23" s="54">
        <v>33652</v>
      </c>
      <c r="J23" s="76">
        <v>27.43013698630137</v>
      </c>
      <c r="K23" s="76">
        <v>329.34210526315792</v>
      </c>
      <c r="L23" s="50" t="s">
        <v>114</v>
      </c>
      <c r="M23" s="186" t="s">
        <v>202</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v>0</v>
      </c>
      <c r="AK23" s="323">
        <f t="shared" si="0"/>
        <v>0</v>
      </c>
      <c r="AL23" s="186"/>
      <c r="AM23" s="58">
        <v>43658</v>
      </c>
      <c r="AN23" s="52" t="s">
        <v>1545</v>
      </c>
      <c r="AO23" s="54">
        <v>43686</v>
      </c>
      <c r="AP23" s="50" t="s">
        <v>145</v>
      </c>
      <c r="AQ23" s="58">
        <v>43654</v>
      </c>
      <c r="AR23" s="52">
        <v>0</v>
      </c>
      <c r="AS23" s="52"/>
      <c r="AT23" s="323">
        <v>0</v>
      </c>
      <c r="AU23" s="52">
        <v>0</v>
      </c>
      <c r="AV23" s="52">
        <v>0</v>
      </c>
      <c r="AW23" s="52">
        <v>1</v>
      </c>
      <c r="AX23" s="52" t="s">
        <v>204</v>
      </c>
      <c r="AY23" s="70"/>
      <c r="AZ23" s="70" t="s">
        <v>1507</v>
      </c>
      <c r="BA23" s="47">
        <v>0</v>
      </c>
      <c r="BB23" s="69">
        <v>1</v>
      </c>
      <c r="BC23" s="69">
        <v>10</v>
      </c>
      <c r="BD23" s="69">
        <v>1</v>
      </c>
      <c r="BE23" s="69">
        <v>0</v>
      </c>
      <c r="BF23" s="234">
        <v>1</v>
      </c>
      <c r="BG23" s="766">
        <v>0</v>
      </c>
      <c r="BH23" s="766"/>
      <c r="BI23" s="223">
        <v>1</v>
      </c>
      <c r="BJ23" s="70"/>
      <c r="BK23" s="70">
        <v>1</v>
      </c>
      <c r="BL23" s="70" t="s">
        <v>1546</v>
      </c>
      <c r="BM23" s="70">
        <v>1</v>
      </c>
      <c r="BN23" s="70" t="s">
        <v>1547</v>
      </c>
      <c r="BO23" s="70">
        <v>1</v>
      </c>
      <c r="BP23" s="70">
        <v>0</v>
      </c>
      <c r="BQ23" s="70">
        <v>0</v>
      </c>
      <c r="BR23" s="70">
        <v>0</v>
      </c>
      <c r="BS23" s="240">
        <v>0</v>
      </c>
      <c r="BT23" s="223">
        <v>0</v>
      </c>
      <c r="BU23" s="70"/>
      <c r="BV23" s="70">
        <v>0</v>
      </c>
      <c r="BW23" s="70">
        <v>0</v>
      </c>
      <c r="BX23" s="70">
        <v>0</v>
      </c>
      <c r="BY23" s="70"/>
      <c r="BZ23" s="70"/>
      <c r="CA23" s="70"/>
      <c r="CB23" s="77">
        <v>0</v>
      </c>
      <c r="CC23" s="77">
        <v>0</v>
      </c>
      <c r="CD23" s="77">
        <v>0</v>
      </c>
      <c r="CE23" s="77"/>
      <c r="CF23" s="77"/>
      <c r="CG23" s="70"/>
      <c r="CH23" s="70">
        <v>1</v>
      </c>
      <c r="CI23" s="70" t="s">
        <v>1548</v>
      </c>
      <c r="CJ23" s="70">
        <v>0</v>
      </c>
      <c r="CK23" s="70">
        <v>0</v>
      </c>
      <c r="CL23" s="70">
        <v>0</v>
      </c>
      <c r="CM23" s="47">
        <v>104</v>
      </c>
      <c r="CN23" s="47">
        <v>64</v>
      </c>
      <c r="CP23" s="504">
        <v>30</v>
      </c>
      <c r="CQ23" s="504">
        <v>31.1</v>
      </c>
      <c r="CR23" s="54">
        <v>43658</v>
      </c>
      <c r="CS23" s="54">
        <v>43676</v>
      </c>
      <c r="CT23" s="78">
        <v>12</v>
      </c>
      <c r="CU23" s="79">
        <v>43999</v>
      </c>
      <c r="CV23" s="59">
        <v>0</v>
      </c>
      <c r="CW23" s="54"/>
      <c r="CX23" s="59">
        <v>0</v>
      </c>
      <c r="CY23" s="59">
        <v>0</v>
      </c>
      <c r="CZ23" s="59">
        <v>0</v>
      </c>
      <c r="DA23" s="54"/>
      <c r="DB23" s="59">
        <v>0</v>
      </c>
      <c r="DC23" s="54"/>
      <c r="DD23" s="59">
        <v>0</v>
      </c>
      <c r="DE23" s="54"/>
      <c r="DF23" s="59">
        <v>0</v>
      </c>
      <c r="DG23" s="54"/>
      <c r="DH23" s="66"/>
      <c r="DI23" s="70"/>
      <c r="DJ23" s="70"/>
      <c r="DK23" s="70"/>
      <c r="DL23" s="70"/>
      <c r="DM23" s="70"/>
      <c r="DN23" s="70"/>
      <c r="DO23" s="70"/>
      <c r="DP23" s="70"/>
      <c r="DQ23" s="70"/>
      <c r="DR23" s="70"/>
      <c r="DS23" s="70"/>
      <c r="DT23" s="70"/>
      <c r="DU23" s="70"/>
      <c r="DV23" s="70"/>
      <c r="DW23" s="70"/>
      <c r="DX23" s="70"/>
      <c r="DY23" s="70"/>
      <c r="DZ23" s="70"/>
      <c r="EA23" s="70"/>
      <c r="EB23" s="70"/>
      <c r="EC23" s="70"/>
      <c r="ED23" s="70"/>
      <c r="EE23" s="70"/>
      <c r="EF23" s="70"/>
      <c r="EG23" s="70"/>
      <c r="EH23" s="70"/>
      <c r="EI23" s="70"/>
    </row>
    <row r="24" spans="1:139" s="47" customFormat="1" ht="39.75" customHeight="1">
      <c r="A24" s="50">
        <v>50</v>
      </c>
      <c r="B24" s="54">
        <v>43659</v>
      </c>
      <c r="C24" s="55">
        <v>43659.387499999997</v>
      </c>
      <c r="D24" s="56">
        <v>42656974</v>
      </c>
      <c r="E24" s="50" t="s">
        <v>205</v>
      </c>
      <c r="F24" s="47" t="b">
        <v>1</v>
      </c>
      <c r="H24" s="50" t="s">
        <v>113</v>
      </c>
      <c r="I24" s="54">
        <v>20849</v>
      </c>
      <c r="J24" s="76">
        <v>62.493150684931507</v>
      </c>
      <c r="K24" s="76">
        <v>750.32894736842104</v>
      </c>
      <c r="L24" s="50" t="s">
        <v>114</v>
      </c>
      <c r="M24" s="186" t="s">
        <v>206</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v>0</v>
      </c>
      <c r="AK24" s="323">
        <f t="shared" si="0"/>
        <v>0</v>
      </c>
      <c r="AL24" s="186"/>
      <c r="AM24" s="58">
        <v>43650</v>
      </c>
      <c r="AN24" s="52" t="s">
        <v>1536</v>
      </c>
      <c r="AO24" s="54">
        <v>43682</v>
      </c>
      <c r="AP24" s="180" t="s">
        <v>1549</v>
      </c>
      <c r="AQ24" s="58">
        <v>43650</v>
      </c>
      <c r="AR24" s="52">
        <v>0</v>
      </c>
      <c r="AS24" s="52"/>
      <c r="AT24" s="323">
        <v>0</v>
      </c>
      <c r="AU24" s="52">
        <v>1</v>
      </c>
      <c r="AV24" s="52">
        <v>0</v>
      </c>
      <c r="AW24" s="52">
        <v>1</v>
      </c>
      <c r="AX24" s="50" t="s">
        <v>169</v>
      </c>
      <c r="AY24" s="70"/>
      <c r="AZ24" s="70" t="s">
        <v>1550</v>
      </c>
      <c r="BA24" s="47">
        <v>0</v>
      </c>
      <c r="BB24" s="69">
        <v>1</v>
      </c>
      <c r="BC24" s="69">
        <v>0</v>
      </c>
      <c r="BD24" s="69">
        <v>1</v>
      </c>
      <c r="BE24" s="69">
        <v>0</v>
      </c>
      <c r="BF24" s="234">
        <v>0</v>
      </c>
      <c r="BG24" s="766">
        <v>0</v>
      </c>
      <c r="BH24" s="766"/>
      <c r="BI24" s="223">
        <v>0</v>
      </c>
      <c r="BJ24" s="70"/>
      <c r="BK24" s="70">
        <v>0</v>
      </c>
      <c r="BL24" s="70"/>
      <c r="BM24" s="70">
        <v>0</v>
      </c>
      <c r="BN24" s="70"/>
      <c r="BO24" s="70">
        <v>0</v>
      </c>
      <c r="BP24" s="70">
        <v>0</v>
      </c>
      <c r="BQ24" s="70">
        <v>0</v>
      </c>
      <c r="BR24" s="70">
        <v>0</v>
      </c>
      <c r="BS24" s="240">
        <v>0</v>
      </c>
      <c r="BT24" s="223">
        <v>1</v>
      </c>
      <c r="BU24" s="70" t="s">
        <v>1551</v>
      </c>
      <c r="BV24" s="70">
        <v>0</v>
      </c>
      <c r="BW24" s="70">
        <v>0</v>
      </c>
      <c r="BX24" s="70">
        <v>0</v>
      </c>
      <c r="BY24" s="70"/>
      <c r="BZ24" s="70"/>
      <c r="CA24" s="70"/>
      <c r="CB24" s="70">
        <v>0</v>
      </c>
      <c r="CC24" s="70">
        <v>0</v>
      </c>
      <c r="CD24" s="70">
        <v>0</v>
      </c>
      <c r="CE24" s="70"/>
      <c r="CF24" s="70"/>
      <c r="CG24" s="70"/>
      <c r="CH24" s="70">
        <v>0</v>
      </c>
      <c r="CI24" s="70"/>
      <c r="CJ24" s="70">
        <v>0</v>
      </c>
      <c r="CK24" s="70">
        <v>0</v>
      </c>
      <c r="CL24" s="70">
        <v>0</v>
      </c>
      <c r="CM24" s="47">
        <v>81</v>
      </c>
      <c r="CN24" s="47">
        <v>59</v>
      </c>
      <c r="CP24" s="504">
        <v>32.5</v>
      </c>
      <c r="CQ24" s="504">
        <v>34</v>
      </c>
      <c r="CR24" s="54">
        <v>43657</v>
      </c>
      <c r="CS24" s="54">
        <v>43671</v>
      </c>
      <c r="CT24" s="78">
        <v>12</v>
      </c>
      <c r="CU24" s="79">
        <v>44124</v>
      </c>
      <c r="CV24" s="59">
        <v>0</v>
      </c>
      <c r="CW24" s="54"/>
      <c r="CX24" s="59">
        <v>0</v>
      </c>
      <c r="CY24" s="59">
        <v>0</v>
      </c>
      <c r="CZ24" s="59">
        <v>0</v>
      </c>
      <c r="DA24" s="54"/>
      <c r="DB24" s="59">
        <v>0</v>
      </c>
      <c r="DC24" s="54"/>
      <c r="DD24" s="59">
        <v>0</v>
      </c>
      <c r="DE24" s="54"/>
      <c r="DF24" s="59">
        <v>0</v>
      </c>
      <c r="DG24" s="54"/>
      <c r="DH24" s="54"/>
      <c r="DI24" s="70"/>
      <c r="DJ24" s="70"/>
      <c r="DK24" s="70"/>
      <c r="DL24" s="70"/>
      <c r="DM24" s="70"/>
      <c r="DN24" s="70"/>
      <c r="DO24" s="70"/>
      <c r="DP24" s="70"/>
      <c r="DQ24" s="70"/>
      <c r="DR24" s="70"/>
      <c r="DS24" s="70"/>
      <c r="DT24" s="70"/>
      <c r="DU24" s="70"/>
      <c r="DV24" s="70"/>
      <c r="DW24" s="70"/>
      <c r="DX24" s="70"/>
      <c r="DY24" s="70"/>
      <c r="DZ24" s="70"/>
      <c r="EA24" s="70"/>
      <c r="EB24" s="70"/>
      <c r="EC24" s="70"/>
      <c r="ED24" s="70"/>
      <c r="EE24" s="70"/>
      <c r="EF24" s="70"/>
      <c r="EG24" s="70"/>
      <c r="EH24" s="70"/>
      <c r="EI24" s="70"/>
    </row>
    <row r="25" spans="1:139" s="47" customFormat="1" ht="39.75" customHeight="1">
      <c r="A25" s="50">
        <v>52</v>
      </c>
      <c r="B25" s="54">
        <v>43656</v>
      </c>
      <c r="C25" s="55">
        <v>43656.734027777777</v>
      </c>
      <c r="D25" s="56">
        <v>5837899</v>
      </c>
      <c r="E25" s="50" t="s">
        <v>207</v>
      </c>
      <c r="F25" s="47" t="b">
        <v>1</v>
      </c>
      <c r="H25" s="50" t="s">
        <v>113</v>
      </c>
      <c r="I25" s="54">
        <v>15780</v>
      </c>
      <c r="J25" s="76">
        <v>76.372602739726034</v>
      </c>
      <c r="K25" s="76">
        <v>916.97368421052636</v>
      </c>
      <c r="L25" s="50" t="s">
        <v>166</v>
      </c>
      <c r="M25" s="186" t="s">
        <v>208</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v>0</v>
      </c>
      <c r="AK25" s="323">
        <f t="shared" si="0"/>
        <v>0</v>
      </c>
      <c r="AL25" s="186"/>
      <c r="AM25" s="58">
        <v>43654</v>
      </c>
      <c r="AN25" s="52" t="s">
        <v>1552</v>
      </c>
      <c r="AO25" s="54">
        <v>43698</v>
      </c>
      <c r="AP25" s="50" t="s">
        <v>1553</v>
      </c>
      <c r="AQ25" s="58">
        <v>43651</v>
      </c>
      <c r="AR25" s="52">
        <v>1</v>
      </c>
      <c r="AS25" s="52"/>
      <c r="AT25" s="323">
        <v>0</v>
      </c>
      <c r="AU25" s="52">
        <v>0</v>
      </c>
      <c r="AV25" s="52">
        <v>0</v>
      </c>
      <c r="AW25" s="52">
        <v>1</v>
      </c>
      <c r="AX25" s="52" t="s">
        <v>210</v>
      </c>
      <c r="AY25" s="70"/>
      <c r="AZ25" s="70" t="s">
        <v>1494</v>
      </c>
      <c r="BA25" s="47">
        <v>0</v>
      </c>
      <c r="BB25" s="69">
        <v>1</v>
      </c>
      <c r="BC25" s="69">
        <v>30</v>
      </c>
      <c r="BD25" s="69">
        <v>1</v>
      </c>
      <c r="BE25" s="69">
        <v>0</v>
      </c>
      <c r="BF25" s="234">
        <v>0</v>
      </c>
      <c r="BG25" s="766">
        <v>0</v>
      </c>
      <c r="BH25" s="766"/>
      <c r="BI25" s="223">
        <v>0</v>
      </c>
      <c r="BJ25" s="70"/>
      <c r="BK25" s="70">
        <v>0</v>
      </c>
      <c r="BL25" s="70"/>
      <c r="BM25" s="70">
        <v>0</v>
      </c>
      <c r="BN25" s="70"/>
      <c r="BO25" s="70">
        <v>0</v>
      </c>
      <c r="BP25" s="70">
        <v>0</v>
      </c>
      <c r="BQ25" s="70">
        <v>0</v>
      </c>
      <c r="BR25" s="70">
        <v>0</v>
      </c>
      <c r="BS25" s="240">
        <v>0</v>
      </c>
      <c r="BT25" s="223">
        <v>1</v>
      </c>
      <c r="BU25" s="70" t="s">
        <v>1554</v>
      </c>
      <c r="BV25" s="70">
        <v>0</v>
      </c>
      <c r="BW25" s="70">
        <v>0</v>
      </c>
      <c r="BX25" s="70">
        <v>0</v>
      </c>
      <c r="BY25" s="70"/>
      <c r="BZ25" s="70"/>
      <c r="CA25" s="70"/>
      <c r="CB25" s="70">
        <v>0</v>
      </c>
      <c r="CC25" s="70">
        <v>0</v>
      </c>
      <c r="CD25" s="70">
        <v>0</v>
      </c>
      <c r="CE25" s="70"/>
      <c r="CF25" s="70"/>
      <c r="CG25" s="70"/>
      <c r="CH25" s="70">
        <v>1</v>
      </c>
      <c r="CI25" s="70"/>
      <c r="CJ25" s="70">
        <v>0</v>
      </c>
      <c r="CK25" s="70">
        <v>0</v>
      </c>
      <c r="CL25" s="70">
        <v>1</v>
      </c>
      <c r="CM25" s="47">
        <v>220</v>
      </c>
      <c r="CN25" s="47">
        <v>134</v>
      </c>
      <c r="CP25" s="504">
        <v>13.8</v>
      </c>
      <c r="CQ25" s="504">
        <v>23.2</v>
      </c>
      <c r="CR25" s="54">
        <v>43652</v>
      </c>
      <c r="CS25" s="54">
        <v>43677</v>
      </c>
      <c r="CT25" s="78">
        <v>21</v>
      </c>
      <c r="CU25" s="79">
        <v>44292</v>
      </c>
      <c r="CV25" s="59">
        <v>0</v>
      </c>
      <c r="CW25" s="54"/>
      <c r="CX25" s="59">
        <v>0</v>
      </c>
      <c r="CY25" s="59">
        <v>0</v>
      </c>
      <c r="CZ25" s="59">
        <v>0</v>
      </c>
      <c r="DA25" s="54"/>
      <c r="DB25" s="59">
        <v>0</v>
      </c>
      <c r="DC25" s="54"/>
      <c r="DD25" s="59">
        <v>0</v>
      </c>
      <c r="DE25" s="54"/>
      <c r="DF25" s="59">
        <v>0</v>
      </c>
      <c r="DG25" s="54"/>
      <c r="DH25" s="54"/>
      <c r="DI25" s="70"/>
      <c r="DJ25" s="70"/>
      <c r="DK25" s="70"/>
      <c r="DL25" s="70"/>
      <c r="DM25" s="70"/>
      <c r="DN25" s="70"/>
      <c r="DO25" s="70"/>
      <c r="DP25" s="70"/>
      <c r="DQ25" s="70"/>
      <c r="DR25" s="70"/>
      <c r="DS25" s="70"/>
      <c r="DT25" s="70"/>
      <c r="DU25" s="70"/>
      <c r="DV25" s="70"/>
      <c r="DW25" s="70"/>
      <c r="DX25" s="70"/>
      <c r="DY25" s="70"/>
      <c r="DZ25" s="70"/>
      <c r="EA25" s="70"/>
      <c r="EB25" s="70"/>
      <c r="EC25" s="70"/>
      <c r="ED25" s="70"/>
      <c r="EE25" s="70"/>
      <c r="EF25" s="70"/>
      <c r="EG25" s="70"/>
      <c r="EH25" s="70"/>
      <c r="EI25" s="70"/>
    </row>
    <row r="26" spans="1:139" s="48" customFormat="1" ht="39.75" customHeight="1">
      <c r="A26" s="60">
        <v>53</v>
      </c>
      <c r="B26" s="61">
        <v>43654</v>
      </c>
      <c r="C26" s="62">
        <v>43654.59652777778</v>
      </c>
      <c r="D26" s="63">
        <v>24772610</v>
      </c>
      <c r="E26" s="60" t="s">
        <v>211</v>
      </c>
      <c r="F26" s="48" t="b">
        <v>0</v>
      </c>
      <c r="G26" s="48" t="s">
        <v>1487</v>
      </c>
      <c r="H26" s="60" t="s">
        <v>113</v>
      </c>
      <c r="I26" s="61">
        <v>27214</v>
      </c>
      <c r="J26" s="81">
        <v>45.041095890410958</v>
      </c>
      <c r="K26" s="81">
        <v>540.78947368421052</v>
      </c>
      <c r="L26" s="60" t="s">
        <v>166</v>
      </c>
      <c r="M26" s="187" t="s">
        <v>212</v>
      </c>
      <c r="N26" s="48">
        <v>178.6</v>
      </c>
      <c r="O26" s="48">
        <v>82.9</v>
      </c>
      <c r="P26" s="48">
        <f t="shared" si="1"/>
        <v>25.989122815377534</v>
      </c>
      <c r="Q26" s="51"/>
      <c r="V26" s="51"/>
      <c r="Y26" s="216"/>
      <c r="Z26" s="336"/>
      <c r="AA26" s="324"/>
      <c r="AB26" s="324"/>
      <c r="AC26" s="324"/>
      <c r="AD26" s="324"/>
      <c r="AE26" s="324"/>
      <c r="AF26" s="324"/>
      <c r="AG26" s="324"/>
      <c r="AH26" s="324"/>
      <c r="AI26" s="324"/>
      <c r="AJ26" s="324"/>
      <c r="AK26" s="324">
        <f t="shared" si="0"/>
        <v>1</v>
      </c>
      <c r="AL26" s="187"/>
      <c r="AM26" s="191"/>
      <c r="AN26" s="51"/>
      <c r="AO26" s="61"/>
      <c r="AP26" s="60"/>
      <c r="AQ26" s="191"/>
      <c r="AR26" s="51"/>
      <c r="AS26" s="51"/>
      <c r="AT26" s="324"/>
      <c r="AU26" s="51"/>
      <c r="AV26" s="51"/>
      <c r="AW26" s="51"/>
      <c r="AX26" s="51" t="s">
        <v>214</v>
      </c>
      <c r="AY26" s="71"/>
      <c r="AZ26" s="71"/>
      <c r="BB26" s="82"/>
      <c r="BC26" s="82"/>
      <c r="BD26" s="82"/>
      <c r="BE26" s="82"/>
      <c r="BF26" s="235"/>
      <c r="BG26" s="767"/>
      <c r="BH26" s="767"/>
      <c r="BI26" s="224"/>
      <c r="BJ26" s="71"/>
      <c r="BK26" s="71"/>
      <c r="BL26" s="71"/>
      <c r="BM26" s="71"/>
      <c r="BN26" s="71"/>
      <c r="BO26" s="71"/>
      <c r="BP26" s="71"/>
      <c r="BQ26" s="71"/>
      <c r="BR26" s="71"/>
      <c r="BS26" s="241"/>
      <c r="BT26" s="224" t="s">
        <v>213</v>
      </c>
      <c r="BU26" s="71"/>
      <c r="BV26" s="71"/>
      <c r="BW26" s="71"/>
      <c r="BX26" s="71"/>
      <c r="BY26" s="71"/>
      <c r="BZ26" s="71"/>
      <c r="CA26" s="71"/>
      <c r="CB26" s="71"/>
      <c r="CC26" s="71"/>
      <c r="CD26" s="71"/>
      <c r="CE26" s="71"/>
      <c r="CF26" s="71"/>
      <c r="CG26" s="71"/>
      <c r="CH26" s="71"/>
      <c r="CI26" s="71"/>
      <c r="CJ26" s="71">
        <v>1</v>
      </c>
      <c r="CK26" s="71"/>
      <c r="CL26" s="71"/>
      <c r="CM26" s="48">
        <v>349</v>
      </c>
      <c r="CN26" s="48">
        <v>218</v>
      </c>
      <c r="CP26" s="505">
        <v>28.2</v>
      </c>
      <c r="CQ26" s="505">
        <v>29.2</v>
      </c>
      <c r="CR26" s="61">
        <v>43642</v>
      </c>
      <c r="CS26" s="61">
        <v>43676</v>
      </c>
      <c r="CT26" s="83">
        <v>22</v>
      </c>
      <c r="CU26" s="84"/>
      <c r="CV26" s="65"/>
      <c r="CW26" s="61"/>
      <c r="CX26" s="65"/>
      <c r="CY26" s="65"/>
      <c r="CZ26" s="65"/>
      <c r="DA26" s="61"/>
      <c r="DB26" s="65"/>
      <c r="DC26" s="61"/>
      <c r="DD26" s="65"/>
      <c r="DE26" s="61"/>
      <c r="DF26" s="65"/>
      <c r="DG26" s="61"/>
      <c r="DH26" s="61"/>
      <c r="DI26" s="71"/>
      <c r="DJ26" s="71"/>
      <c r="DK26" s="71"/>
      <c r="DL26" s="71"/>
      <c r="DM26" s="71"/>
      <c r="DN26" s="71"/>
      <c r="DO26" s="71"/>
      <c r="DP26" s="71"/>
      <c r="DQ26" s="71"/>
      <c r="DR26" s="71"/>
      <c r="DS26" s="71"/>
      <c r="DT26" s="71"/>
      <c r="DU26" s="71"/>
      <c r="DV26" s="71"/>
      <c r="DW26" s="71"/>
      <c r="DX26" s="71"/>
      <c r="DY26" s="71"/>
      <c r="DZ26" s="71"/>
      <c r="EA26" s="71"/>
      <c r="EB26" s="71"/>
      <c r="EC26" s="71"/>
      <c r="ED26" s="71"/>
      <c r="EE26" s="71"/>
      <c r="EF26" s="71"/>
      <c r="EG26" s="71"/>
      <c r="EH26" s="71"/>
      <c r="EI26" s="71"/>
    </row>
    <row r="27" spans="1:139" s="48" customFormat="1" ht="39.75" customHeight="1">
      <c r="A27" s="60">
        <v>55</v>
      </c>
      <c r="B27" s="61">
        <v>43635</v>
      </c>
      <c r="C27" s="62">
        <v>43635.55972222222</v>
      </c>
      <c r="D27" s="63">
        <v>42129919</v>
      </c>
      <c r="E27" s="60" t="s">
        <v>215</v>
      </c>
      <c r="F27" s="48" t="b">
        <v>0</v>
      </c>
      <c r="G27" s="48" t="s">
        <v>1558</v>
      </c>
      <c r="H27" s="60" t="s">
        <v>113</v>
      </c>
      <c r="I27" s="61">
        <v>30766</v>
      </c>
      <c r="J27" s="71">
        <v>35.257534246575339</v>
      </c>
      <c r="K27" s="85">
        <v>423.04404996712685</v>
      </c>
      <c r="L27" s="60" t="s">
        <v>216</v>
      </c>
      <c r="M27" s="187" t="s">
        <v>217</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c r="AK27" s="324">
        <f t="shared" si="0"/>
        <v>1</v>
      </c>
      <c r="AL27" s="187"/>
      <c r="AM27" s="191"/>
      <c r="AN27" s="51"/>
      <c r="AO27" s="61"/>
      <c r="AP27" s="60" t="s">
        <v>218</v>
      </c>
      <c r="AQ27" s="191"/>
      <c r="AR27" s="51"/>
      <c r="AS27" s="51"/>
      <c r="AT27" s="324"/>
      <c r="AU27" s="51"/>
      <c r="AV27" s="51"/>
      <c r="AW27" s="51"/>
      <c r="AX27" s="51" t="s">
        <v>219</v>
      </c>
      <c r="AY27" s="71"/>
      <c r="AZ27" s="71">
        <v>1</v>
      </c>
      <c r="BB27" s="82"/>
      <c r="BC27" s="82"/>
      <c r="BD27" s="82"/>
      <c r="BE27" s="82"/>
      <c r="BF27" s="235"/>
      <c r="BG27" s="767"/>
      <c r="BH27" s="767"/>
      <c r="BI27" s="224">
        <v>1</v>
      </c>
      <c r="BJ27" s="71"/>
      <c r="BK27" s="71"/>
      <c r="BL27" s="71"/>
      <c r="BM27" s="71"/>
      <c r="BN27" s="71"/>
      <c r="BO27" s="71"/>
      <c r="BP27" s="71"/>
      <c r="BQ27" s="71"/>
      <c r="BR27" s="71"/>
      <c r="BS27" s="241"/>
      <c r="BT27" s="224"/>
      <c r="BU27" s="71"/>
      <c r="BV27" s="71"/>
      <c r="BW27" s="71"/>
      <c r="BX27" s="71"/>
      <c r="BY27" s="71"/>
      <c r="BZ27" s="71"/>
      <c r="CA27" s="71" t="e">
        <v>#REF!</v>
      </c>
      <c r="CB27" s="86"/>
      <c r="CC27" s="86"/>
      <c r="CD27" s="86"/>
      <c r="CE27" s="86"/>
      <c r="CF27" s="86"/>
      <c r="CG27" s="71"/>
      <c r="CH27" s="71"/>
      <c r="CI27" s="71"/>
      <c r="CJ27" s="71"/>
      <c r="CK27" s="71"/>
      <c r="CL27" s="71"/>
      <c r="CM27" s="48">
        <v>74</v>
      </c>
      <c r="CN27" s="48">
        <v>49</v>
      </c>
      <c r="CP27" s="505">
        <v>33.799999999999997</v>
      </c>
      <c r="CQ27" s="505">
        <v>34.5</v>
      </c>
      <c r="CR27" s="61">
        <v>43632</v>
      </c>
      <c r="CS27" s="61">
        <v>43643</v>
      </c>
      <c r="CT27" s="83">
        <v>8</v>
      </c>
      <c r="CU27" s="84"/>
      <c r="CV27" s="65"/>
      <c r="CW27" s="61"/>
      <c r="CX27" s="65"/>
      <c r="CY27" s="65"/>
      <c r="CZ27" s="65"/>
      <c r="DA27" s="61"/>
      <c r="DB27" s="65"/>
      <c r="DC27" s="61"/>
      <c r="DD27" s="65"/>
      <c r="DE27" s="61"/>
      <c r="DF27" s="65"/>
      <c r="DG27" s="61"/>
      <c r="DH27" s="87" t="s">
        <v>220</v>
      </c>
      <c r="DI27" s="71"/>
      <c r="DJ27" s="71"/>
      <c r="DK27" s="71"/>
      <c r="DL27" s="71"/>
      <c r="DM27" s="71"/>
      <c r="DN27" s="71"/>
      <c r="DO27" s="71"/>
      <c r="DP27" s="71"/>
      <c r="DQ27" s="71"/>
      <c r="DR27" s="71"/>
      <c r="DS27" s="71"/>
      <c r="DT27" s="71"/>
      <c r="DU27" s="71"/>
      <c r="DV27" s="71"/>
      <c r="DW27" s="71"/>
      <c r="DX27" s="71"/>
      <c r="DY27" s="71"/>
      <c r="DZ27" s="71"/>
      <c r="EA27" s="71"/>
      <c r="EB27" s="71"/>
      <c r="EC27" s="71"/>
      <c r="ED27" s="71"/>
      <c r="EE27" s="71"/>
      <c r="EF27" s="71"/>
      <c r="EG27" s="71"/>
      <c r="EH27" s="71"/>
      <c r="EI27" s="71"/>
    </row>
    <row r="28" spans="1:139" s="47" customFormat="1" ht="39.75" customHeight="1">
      <c r="A28" s="50">
        <v>56</v>
      </c>
      <c r="B28" s="54">
        <v>43617</v>
      </c>
      <c r="C28" s="55">
        <v>43617.381249999999</v>
      </c>
      <c r="D28" s="56">
        <v>42372993</v>
      </c>
      <c r="E28" s="50" t="s">
        <v>221</v>
      </c>
      <c r="F28" s="47" t="b">
        <v>1</v>
      </c>
      <c r="H28" s="50" t="s">
        <v>129</v>
      </c>
      <c r="I28" s="54">
        <v>35902</v>
      </c>
      <c r="J28" s="70">
        <v>21.136986301369863</v>
      </c>
      <c r="K28" s="181">
        <v>253.61604207758052</v>
      </c>
      <c r="L28" s="50" t="s">
        <v>121</v>
      </c>
      <c r="M28" s="186" t="s">
        <v>222</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v>0</v>
      </c>
      <c r="AK28" s="323">
        <f t="shared" si="0"/>
        <v>0</v>
      </c>
      <c r="AL28" s="186"/>
      <c r="AM28" s="58">
        <v>43613</v>
      </c>
      <c r="AN28" s="52" t="s">
        <v>1555</v>
      </c>
      <c r="AO28" s="54">
        <v>43642</v>
      </c>
      <c r="AP28" s="50" t="s">
        <v>223</v>
      </c>
      <c r="AQ28" s="58"/>
      <c r="AR28" s="52">
        <v>1</v>
      </c>
      <c r="AS28" s="52" t="s">
        <v>224</v>
      </c>
      <c r="AT28" s="323">
        <v>0</v>
      </c>
      <c r="AU28" s="52">
        <v>1</v>
      </c>
      <c r="AV28" s="52">
        <v>0</v>
      </c>
      <c r="AW28" s="52">
        <v>1</v>
      </c>
      <c r="AX28" s="52" t="s">
        <v>225</v>
      </c>
      <c r="AY28" s="70"/>
      <c r="AZ28" s="70" t="s">
        <v>1503</v>
      </c>
      <c r="BA28" s="47">
        <v>0</v>
      </c>
      <c r="BB28" s="69">
        <v>1</v>
      </c>
      <c r="BC28" s="69">
        <v>20</v>
      </c>
      <c r="BD28" s="69">
        <v>0</v>
      </c>
      <c r="BE28" s="69">
        <v>0</v>
      </c>
      <c r="BF28" s="234">
        <v>1</v>
      </c>
      <c r="BG28" s="766">
        <v>0</v>
      </c>
      <c r="BH28" s="766"/>
      <c r="BI28" s="223">
        <v>1</v>
      </c>
      <c r="BJ28" s="70">
        <v>0</v>
      </c>
      <c r="BK28" s="70">
        <v>1</v>
      </c>
      <c r="BL28" s="70" t="s">
        <v>1556</v>
      </c>
      <c r="BM28" s="80">
        <v>1</v>
      </c>
      <c r="BN28" s="80" t="s">
        <v>1557</v>
      </c>
      <c r="BO28" s="80">
        <v>0</v>
      </c>
      <c r="BP28" s="80">
        <v>0</v>
      </c>
      <c r="BQ28" s="80">
        <v>0</v>
      </c>
      <c r="BR28" s="80">
        <v>0</v>
      </c>
      <c r="BS28" s="242">
        <v>1</v>
      </c>
      <c r="BT28" s="223">
        <v>0</v>
      </c>
      <c r="BU28" s="70"/>
      <c r="BV28" s="70">
        <v>0</v>
      </c>
      <c r="BW28" s="70">
        <v>0</v>
      </c>
      <c r="BX28" s="70">
        <v>0</v>
      </c>
      <c r="BY28" s="70"/>
      <c r="BZ28" s="70"/>
      <c r="CA28" s="70"/>
      <c r="CB28" s="77">
        <v>0</v>
      </c>
      <c r="CC28" s="77">
        <v>0</v>
      </c>
      <c r="CD28" s="77">
        <v>0</v>
      </c>
      <c r="CE28" s="77"/>
      <c r="CF28" s="77"/>
      <c r="CG28" s="70"/>
      <c r="CH28" s="70">
        <v>0</v>
      </c>
      <c r="CI28" s="70"/>
      <c r="CJ28" s="70">
        <v>0</v>
      </c>
      <c r="CK28" s="70">
        <v>0</v>
      </c>
      <c r="CL28" s="70">
        <v>0</v>
      </c>
      <c r="CM28" s="47">
        <v>139</v>
      </c>
      <c r="CN28" s="47">
        <v>126</v>
      </c>
      <c r="CP28" s="504">
        <v>29.8</v>
      </c>
      <c r="CQ28" s="504">
        <v>30.8</v>
      </c>
      <c r="CR28" s="54">
        <v>43614</v>
      </c>
      <c r="CS28" s="54">
        <v>43630</v>
      </c>
      <c r="CT28" s="78">
        <v>13</v>
      </c>
      <c r="CU28" s="79">
        <v>43850</v>
      </c>
      <c r="CV28" s="59">
        <v>0</v>
      </c>
      <c r="CW28" s="54"/>
      <c r="CX28" s="59">
        <v>0</v>
      </c>
      <c r="CY28" s="59">
        <v>0</v>
      </c>
      <c r="CZ28" s="59">
        <v>0</v>
      </c>
      <c r="DA28" s="54"/>
      <c r="DB28" s="59">
        <v>0</v>
      </c>
      <c r="DC28" s="54"/>
      <c r="DD28" s="59">
        <v>0</v>
      </c>
      <c r="DE28" s="54"/>
      <c r="DF28" s="59">
        <v>0</v>
      </c>
      <c r="DG28" s="54"/>
      <c r="DH28" s="66"/>
      <c r="DI28" s="70"/>
      <c r="DJ28" s="70"/>
      <c r="DK28" s="70"/>
      <c r="DL28" s="70"/>
      <c r="DM28" s="70"/>
      <c r="DN28" s="70"/>
      <c r="DO28" s="70"/>
      <c r="DP28" s="70"/>
      <c r="DQ28" s="70"/>
      <c r="DR28" s="70"/>
      <c r="DS28" s="70"/>
      <c r="DT28" s="70"/>
      <c r="DU28" s="70"/>
      <c r="DV28" s="70"/>
      <c r="DW28" s="70"/>
      <c r="DX28" s="70"/>
      <c r="DY28" s="70"/>
      <c r="DZ28" s="70"/>
      <c r="EA28" s="70"/>
      <c r="EB28" s="70"/>
      <c r="EC28" s="70"/>
      <c r="ED28" s="70"/>
      <c r="EE28" s="70"/>
      <c r="EF28" s="70"/>
      <c r="EG28" s="70"/>
      <c r="EH28" s="70"/>
      <c r="EI28" s="70"/>
    </row>
    <row r="29" spans="1:139" s="48" customFormat="1" ht="39.75" customHeight="1">
      <c r="A29" s="60">
        <v>57</v>
      </c>
      <c r="B29" s="61">
        <v>43615</v>
      </c>
      <c r="C29" s="62">
        <v>43615.301388888889</v>
      </c>
      <c r="D29" s="63">
        <v>42121771</v>
      </c>
      <c r="E29" s="60" t="s">
        <v>226</v>
      </c>
      <c r="F29" s="48" t="b">
        <v>0</v>
      </c>
      <c r="G29" s="48" t="s">
        <v>1558</v>
      </c>
      <c r="H29" s="60" t="s">
        <v>129</v>
      </c>
      <c r="I29" s="61">
        <v>36665</v>
      </c>
      <c r="J29" s="71">
        <v>19.041095890410958</v>
      </c>
      <c r="K29" s="85">
        <v>228.46811308349768</v>
      </c>
      <c r="L29" s="60" t="s">
        <v>121</v>
      </c>
      <c r="M29" s="187" t="s">
        <v>227</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c r="AK29" s="324">
        <f t="shared" si="0"/>
        <v>0</v>
      </c>
      <c r="AL29" s="187"/>
      <c r="AM29" s="191"/>
      <c r="AN29" s="51"/>
      <c r="AO29" s="61"/>
      <c r="AP29" s="60" t="s">
        <v>152</v>
      </c>
      <c r="AQ29" s="191"/>
      <c r="AR29" s="51">
        <v>1</v>
      </c>
      <c r="AS29" s="51" t="s">
        <v>228</v>
      </c>
      <c r="AT29" s="324">
        <v>0</v>
      </c>
      <c r="AU29" s="51">
        <v>1</v>
      </c>
      <c r="AV29" s="51">
        <v>0</v>
      </c>
      <c r="AW29" s="51">
        <v>0</v>
      </c>
      <c r="AX29" s="51" t="s">
        <v>232</v>
      </c>
      <c r="AY29" s="71">
        <v>0</v>
      </c>
      <c r="AZ29" s="71">
        <v>1</v>
      </c>
      <c r="BB29" s="82">
        <v>1</v>
      </c>
      <c r="BC29" s="82">
        <v>10</v>
      </c>
      <c r="BD29" s="82">
        <v>0</v>
      </c>
      <c r="BE29" s="82">
        <v>0</v>
      </c>
      <c r="BF29" s="235">
        <v>0</v>
      </c>
      <c r="BG29" s="767"/>
      <c r="BH29" s="767"/>
      <c r="BI29" s="224">
        <v>1</v>
      </c>
      <c r="BJ29" s="71"/>
      <c r="BK29" s="71" t="s">
        <v>229</v>
      </c>
      <c r="BL29" s="71"/>
      <c r="BM29" s="71" t="s">
        <v>230</v>
      </c>
      <c r="BN29" s="71"/>
      <c r="BO29" s="71"/>
      <c r="BP29" s="71"/>
      <c r="BQ29" s="71"/>
      <c r="BR29" s="71"/>
      <c r="BS29" s="241" t="s">
        <v>231</v>
      </c>
      <c r="BT29" s="224"/>
      <c r="BU29" s="71"/>
      <c r="BV29" s="71"/>
      <c r="BW29" s="71"/>
      <c r="BX29" s="71">
        <v>0</v>
      </c>
      <c r="BY29" s="71"/>
      <c r="BZ29" s="71"/>
      <c r="CA29" s="71"/>
      <c r="CB29" s="86">
        <v>0</v>
      </c>
      <c r="CC29" s="86"/>
      <c r="CD29" s="86"/>
      <c r="CE29" s="86"/>
      <c r="CF29" s="86">
        <v>0</v>
      </c>
      <c r="CG29" s="71"/>
      <c r="CH29" s="71"/>
      <c r="CI29" s="71"/>
      <c r="CJ29" s="71"/>
      <c r="CK29" s="71"/>
      <c r="CL29" s="71"/>
      <c r="CM29" s="48">
        <v>112</v>
      </c>
      <c r="CN29" s="48">
        <v>96</v>
      </c>
      <c r="CP29" s="505">
        <v>28.9</v>
      </c>
      <c r="CQ29" s="505">
        <v>30.7</v>
      </c>
      <c r="CR29" s="61">
        <v>43613</v>
      </c>
      <c r="CS29" s="61">
        <v>43626</v>
      </c>
      <c r="CT29" s="83">
        <v>11</v>
      </c>
      <c r="CU29" s="84"/>
      <c r="CV29" s="65">
        <v>0</v>
      </c>
      <c r="CW29" s="61"/>
      <c r="CX29" s="65"/>
      <c r="CY29" s="65"/>
      <c r="CZ29" s="65"/>
      <c r="DA29" s="61"/>
      <c r="DB29" s="65">
        <v>0</v>
      </c>
      <c r="DC29" s="61"/>
      <c r="DD29" s="65">
        <v>0</v>
      </c>
      <c r="DE29" s="61"/>
      <c r="DF29" s="65">
        <v>0</v>
      </c>
      <c r="DG29" s="61"/>
      <c r="DH29" s="87" t="s">
        <v>220</v>
      </c>
      <c r="DI29" s="71"/>
      <c r="DJ29" s="71"/>
      <c r="DK29" s="71"/>
      <c r="DL29" s="71"/>
      <c r="DM29" s="71"/>
      <c r="DN29" s="71"/>
      <c r="DO29" s="71"/>
      <c r="DP29" s="71"/>
      <c r="DQ29" s="71"/>
      <c r="DR29" s="71"/>
      <c r="DS29" s="71"/>
      <c r="DT29" s="71"/>
      <c r="DU29" s="71"/>
      <c r="DV29" s="71"/>
      <c r="DW29" s="71"/>
      <c r="DX29" s="71"/>
      <c r="DY29" s="71"/>
      <c r="DZ29" s="71"/>
      <c r="EA29" s="71"/>
      <c r="EB29" s="71"/>
      <c r="EC29" s="71"/>
      <c r="ED29" s="71"/>
      <c r="EE29" s="71"/>
      <c r="EF29" s="71"/>
      <c r="EG29" s="71"/>
      <c r="EH29" s="71"/>
      <c r="EI29" s="71"/>
    </row>
    <row r="30" spans="1:139" s="47" customFormat="1" ht="39.75" customHeight="1">
      <c r="A30" s="50">
        <v>58</v>
      </c>
      <c r="B30" s="54">
        <v>43611</v>
      </c>
      <c r="C30" s="55">
        <v>43611.40347222222</v>
      </c>
      <c r="D30" s="56">
        <v>37858484</v>
      </c>
      <c r="E30" s="50" t="s">
        <v>233</v>
      </c>
      <c r="F30" s="47" t="b">
        <v>1</v>
      </c>
      <c r="H30" s="50" t="s">
        <v>129</v>
      </c>
      <c r="I30" s="54">
        <v>13192</v>
      </c>
      <c r="J30" s="70">
        <v>83.339726027397262</v>
      </c>
      <c r="K30" s="181">
        <v>999.96712689020376</v>
      </c>
      <c r="L30" s="50" t="s">
        <v>121</v>
      </c>
      <c r="M30" s="188" t="s">
        <v>234</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5">
        <v>0</v>
      </c>
      <c r="AK30" s="323">
        <f t="shared" si="0"/>
        <v>0</v>
      </c>
      <c r="AL30" s="188"/>
      <c r="AM30" s="183">
        <v>43608</v>
      </c>
      <c r="AN30" s="182" t="s">
        <v>1555</v>
      </c>
      <c r="AO30" s="54">
        <v>43664</v>
      </c>
      <c r="AP30" s="184" t="s">
        <v>1559</v>
      </c>
      <c r="AQ30" s="183">
        <v>43605</v>
      </c>
      <c r="AR30" s="182">
        <v>1</v>
      </c>
      <c r="AS30" s="182" t="s">
        <v>1560</v>
      </c>
      <c r="AT30" s="325">
        <v>0</v>
      </c>
      <c r="AU30" s="182">
        <v>0</v>
      </c>
      <c r="AV30" s="182">
        <v>0</v>
      </c>
      <c r="AW30" s="182">
        <v>1</v>
      </c>
      <c r="AX30" s="182" t="s">
        <v>235</v>
      </c>
      <c r="AY30" s="70"/>
      <c r="AZ30" s="70" t="s">
        <v>1561</v>
      </c>
      <c r="BA30" s="47">
        <v>0</v>
      </c>
      <c r="BB30" s="69">
        <v>1</v>
      </c>
      <c r="BC30" s="69"/>
      <c r="BD30" s="69">
        <v>1</v>
      </c>
      <c r="BE30" s="69">
        <v>0</v>
      </c>
      <c r="BF30" s="234">
        <v>1</v>
      </c>
      <c r="BG30" s="766">
        <v>1</v>
      </c>
      <c r="BH30" s="766" t="s">
        <v>2192</v>
      </c>
      <c r="BI30" s="225">
        <v>0</v>
      </c>
      <c r="BJ30" s="70"/>
      <c r="BK30" s="70">
        <v>0</v>
      </c>
      <c r="BL30" s="70"/>
      <c r="BM30" s="70">
        <v>0</v>
      </c>
      <c r="BN30" s="70"/>
      <c r="BO30" s="70">
        <v>0</v>
      </c>
      <c r="BP30" s="70">
        <v>0</v>
      </c>
      <c r="BQ30" s="70">
        <v>0</v>
      </c>
      <c r="BR30" s="70">
        <v>0</v>
      </c>
      <c r="BS30" s="240">
        <v>0</v>
      </c>
      <c r="BT30" s="223">
        <v>1</v>
      </c>
      <c r="BU30" s="70" t="s">
        <v>1562</v>
      </c>
      <c r="BV30" s="70">
        <v>0</v>
      </c>
      <c r="BW30" s="70">
        <v>0</v>
      </c>
      <c r="BX30" s="70">
        <v>0</v>
      </c>
      <c r="BY30" s="70"/>
      <c r="BZ30" s="70"/>
      <c r="CA30" s="70"/>
      <c r="CB30" s="70">
        <v>0</v>
      </c>
      <c r="CC30" s="70">
        <v>0</v>
      </c>
      <c r="CD30" s="70">
        <v>0</v>
      </c>
      <c r="CE30" s="70"/>
      <c r="CF30" s="70"/>
      <c r="CG30" s="70"/>
      <c r="CH30" s="70">
        <v>1</v>
      </c>
      <c r="CI30" s="80" t="s">
        <v>2193</v>
      </c>
      <c r="CJ30" s="70">
        <v>0</v>
      </c>
      <c r="CK30" s="70">
        <v>0</v>
      </c>
      <c r="CL30" s="70">
        <v>0</v>
      </c>
      <c r="CM30" s="47">
        <v>239</v>
      </c>
      <c r="CN30" s="47">
        <v>211</v>
      </c>
      <c r="CP30" s="504">
        <v>27.2</v>
      </c>
      <c r="CQ30" s="504">
        <v>28.7</v>
      </c>
      <c r="CR30" s="54">
        <v>43609</v>
      </c>
      <c r="CS30" s="54">
        <v>43711</v>
      </c>
      <c r="CT30" s="78">
        <f>CS30-CR30</f>
        <v>102</v>
      </c>
      <c r="CU30" s="79">
        <v>43773</v>
      </c>
      <c r="CV30" s="59">
        <v>0</v>
      </c>
      <c r="CW30" s="50"/>
      <c r="CX30" s="59">
        <v>0</v>
      </c>
      <c r="CY30" s="59">
        <v>0</v>
      </c>
      <c r="CZ30" s="59">
        <v>0</v>
      </c>
      <c r="DA30" s="50"/>
      <c r="DB30" s="59">
        <v>0</v>
      </c>
      <c r="DC30" s="50"/>
      <c r="DD30" s="59">
        <v>0</v>
      </c>
      <c r="DE30" s="50"/>
      <c r="DF30" s="59">
        <v>0</v>
      </c>
      <c r="DG30" s="50"/>
      <c r="DH30" s="50"/>
      <c r="DI30" s="70"/>
      <c r="DJ30" s="70"/>
      <c r="DK30" s="70"/>
      <c r="DL30" s="70"/>
      <c r="DM30" s="70"/>
      <c r="DN30" s="70"/>
      <c r="DO30" s="70"/>
      <c r="DP30" s="70"/>
      <c r="DQ30" s="70"/>
      <c r="DR30" s="70"/>
      <c r="DS30" s="70"/>
      <c r="DT30" s="70"/>
      <c r="DU30" s="70"/>
      <c r="DV30" s="70"/>
      <c r="DW30" s="70"/>
      <c r="DX30" s="70"/>
      <c r="DY30" s="70"/>
      <c r="DZ30" s="70"/>
      <c r="EA30" s="70"/>
      <c r="EB30" s="70"/>
      <c r="EC30" s="70"/>
      <c r="ED30" s="70"/>
      <c r="EE30" s="70"/>
      <c r="EF30" s="70"/>
      <c r="EG30" s="70"/>
      <c r="EH30" s="70"/>
      <c r="EI30" s="70"/>
    </row>
    <row r="31" spans="1:139" s="47" customFormat="1" ht="39.75" customHeight="1">
      <c r="A31" s="50">
        <v>63</v>
      </c>
      <c r="B31" s="54">
        <v>43596</v>
      </c>
      <c r="C31" s="55">
        <v>43596.447916666664</v>
      </c>
      <c r="D31" s="56">
        <v>42254624</v>
      </c>
      <c r="E31" s="50" t="s">
        <v>236</v>
      </c>
      <c r="F31" s="47" t="b">
        <v>1</v>
      </c>
      <c r="H31" s="50" t="s">
        <v>129</v>
      </c>
      <c r="I31" s="54">
        <v>28549</v>
      </c>
      <c r="J31" s="70">
        <v>41.224657534246575</v>
      </c>
      <c r="K31" s="181">
        <v>494.64168310322151</v>
      </c>
      <c r="L31" s="50" t="s">
        <v>121</v>
      </c>
      <c r="M31" s="186" t="s">
        <v>237</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v>0</v>
      </c>
      <c r="AK31" s="323">
        <f t="shared" si="0"/>
        <v>1</v>
      </c>
      <c r="AL31" s="186"/>
      <c r="AM31" s="58">
        <v>43595</v>
      </c>
      <c r="AN31" s="52" t="s">
        <v>1533</v>
      </c>
      <c r="AO31" s="54">
        <v>43645</v>
      </c>
      <c r="AP31" s="50" t="s">
        <v>1563</v>
      </c>
      <c r="AQ31" s="58">
        <v>43595</v>
      </c>
      <c r="AR31" s="52">
        <v>1</v>
      </c>
      <c r="AS31" s="52" t="s">
        <v>1564</v>
      </c>
      <c r="AT31" s="323">
        <v>0</v>
      </c>
      <c r="AU31" s="52">
        <v>0</v>
      </c>
      <c r="AV31" s="52">
        <v>0</v>
      </c>
      <c r="AW31" s="52">
        <v>1</v>
      </c>
      <c r="AX31" s="52" t="s">
        <v>239</v>
      </c>
      <c r="AY31" s="70"/>
      <c r="AZ31" s="70"/>
      <c r="BA31" s="47">
        <v>0</v>
      </c>
      <c r="BB31" s="69">
        <v>1</v>
      </c>
      <c r="BC31" s="69"/>
      <c r="BD31" s="69">
        <v>0</v>
      </c>
      <c r="BE31" s="69">
        <v>0</v>
      </c>
      <c r="BF31" s="234">
        <v>0</v>
      </c>
      <c r="BG31" s="766">
        <v>0</v>
      </c>
      <c r="BH31" s="766"/>
      <c r="BI31" s="223">
        <v>0</v>
      </c>
      <c r="BJ31" s="70"/>
      <c r="BK31" s="70">
        <v>0</v>
      </c>
      <c r="BL31" s="70"/>
      <c r="BM31" s="70">
        <v>0</v>
      </c>
      <c r="BN31" s="70"/>
      <c r="BO31" s="70">
        <v>0</v>
      </c>
      <c r="BP31" s="70">
        <v>0</v>
      </c>
      <c r="BQ31" s="70">
        <v>0</v>
      </c>
      <c r="BR31" s="70">
        <v>0</v>
      </c>
      <c r="BS31" s="240">
        <v>0</v>
      </c>
      <c r="BT31" s="223">
        <v>1</v>
      </c>
      <c r="BU31" s="70" t="s">
        <v>1565</v>
      </c>
      <c r="BV31" s="70">
        <v>0</v>
      </c>
      <c r="BW31" s="70">
        <v>0</v>
      </c>
      <c r="BX31" s="70">
        <v>0</v>
      </c>
      <c r="BY31" s="70"/>
      <c r="BZ31" s="70"/>
      <c r="CA31" s="70"/>
      <c r="CB31" s="70">
        <v>0</v>
      </c>
      <c r="CC31" s="70">
        <v>0</v>
      </c>
      <c r="CD31" s="70">
        <v>0</v>
      </c>
      <c r="CE31" s="70"/>
      <c r="CF31" s="70"/>
      <c r="CG31" s="70"/>
      <c r="CH31" s="70">
        <v>0</v>
      </c>
      <c r="CI31" s="70"/>
      <c r="CJ31" s="70">
        <v>0</v>
      </c>
      <c r="CK31" s="70">
        <v>0</v>
      </c>
      <c r="CL31" s="70">
        <v>0</v>
      </c>
      <c r="CM31" s="47">
        <v>108</v>
      </c>
      <c r="CN31" s="47">
        <v>94</v>
      </c>
      <c r="CP31" s="504">
        <v>30</v>
      </c>
      <c r="CQ31" s="504">
        <v>33</v>
      </c>
      <c r="CR31" s="54">
        <v>43595</v>
      </c>
      <c r="CS31" s="54">
        <v>43645</v>
      </c>
      <c r="CT31" s="78">
        <v>49</v>
      </c>
      <c r="CU31" s="79">
        <v>44116</v>
      </c>
      <c r="CV31" s="59">
        <v>0</v>
      </c>
      <c r="CW31" s="54"/>
      <c r="CX31" s="59">
        <v>0</v>
      </c>
      <c r="CY31" s="59">
        <v>0</v>
      </c>
      <c r="CZ31" s="59">
        <v>0</v>
      </c>
      <c r="DA31" s="54"/>
      <c r="DB31" s="59">
        <v>0</v>
      </c>
      <c r="DC31" s="54"/>
      <c r="DD31" s="59">
        <v>0</v>
      </c>
      <c r="DE31" s="54"/>
      <c r="DF31" s="59">
        <v>0</v>
      </c>
      <c r="DG31" s="54"/>
      <c r="DH31" s="54"/>
      <c r="DI31" s="70"/>
      <c r="DJ31" s="70"/>
      <c r="DK31" s="70"/>
      <c r="DL31" s="70"/>
      <c r="DM31" s="70"/>
      <c r="DN31" s="70"/>
      <c r="DO31" s="70"/>
      <c r="DP31" s="70"/>
      <c r="DQ31" s="70"/>
      <c r="DR31" s="70"/>
      <c r="DS31" s="70"/>
      <c r="DT31" s="70"/>
      <c r="DU31" s="70"/>
      <c r="DV31" s="70"/>
      <c r="DW31" s="70"/>
      <c r="DX31" s="70"/>
      <c r="DY31" s="70"/>
      <c r="DZ31" s="70"/>
      <c r="EA31" s="70"/>
      <c r="EB31" s="70"/>
      <c r="EC31" s="70"/>
      <c r="ED31" s="70"/>
      <c r="EE31" s="70"/>
      <c r="EF31" s="70"/>
      <c r="EG31" s="70"/>
      <c r="EH31" s="70"/>
      <c r="EI31" s="70"/>
    </row>
    <row r="32" spans="1:139" s="47" customFormat="1" ht="39.75" customHeight="1">
      <c r="A32" s="50">
        <v>67</v>
      </c>
      <c r="B32" s="54">
        <v>43551</v>
      </c>
      <c r="C32" s="55">
        <v>43551.902777777781</v>
      </c>
      <c r="D32" s="56">
        <v>41951092</v>
      </c>
      <c r="E32" s="50" t="s">
        <v>240</v>
      </c>
      <c r="F32" s="47" t="b">
        <v>1</v>
      </c>
      <c r="H32" s="50" t="s">
        <v>113</v>
      </c>
      <c r="I32" s="54">
        <v>29968</v>
      </c>
      <c r="J32" s="50">
        <v>37.213698630136989</v>
      </c>
      <c r="K32" s="181">
        <v>446.51545036160417</v>
      </c>
      <c r="L32" s="50" t="s">
        <v>166</v>
      </c>
      <c r="M32" s="186" t="s">
        <v>241</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v>0</v>
      </c>
      <c r="AK32" s="323">
        <f t="shared" si="0"/>
        <v>0</v>
      </c>
      <c r="AL32" s="186"/>
      <c r="AM32" s="58">
        <v>43546</v>
      </c>
      <c r="AN32" s="52" t="s">
        <v>1566</v>
      </c>
      <c r="AO32" s="54">
        <v>43591</v>
      </c>
      <c r="AP32" s="50" t="s">
        <v>1567</v>
      </c>
      <c r="AQ32" s="58">
        <v>43546</v>
      </c>
      <c r="AR32" s="52">
        <v>0</v>
      </c>
      <c r="AS32" s="52"/>
      <c r="AT32" s="323">
        <v>0</v>
      </c>
      <c r="AU32" s="52">
        <v>1</v>
      </c>
      <c r="AV32" s="52">
        <v>0</v>
      </c>
      <c r="AW32" s="52">
        <v>1</v>
      </c>
      <c r="AX32" s="52" t="s">
        <v>242</v>
      </c>
      <c r="AY32" s="70"/>
      <c r="AZ32" s="70" t="s">
        <v>1568</v>
      </c>
      <c r="BA32" s="47">
        <v>0</v>
      </c>
      <c r="BB32" s="69">
        <v>1</v>
      </c>
      <c r="BC32" s="69"/>
      <c r="BD32" s="69">
        <v>0</v>
      </c>
      <c r="BE32" s="69">
        <v>0</v>
      </c>
      <c r="BF32" s="234">
        <v>0</v>
      </c>
      <c r="BG32" s="766">
        <v>0</v>
      </c>
      <c r="BH32" s="766"/>
      <c r="BI32" s="223">
        <v>0</v>
      </c>
      <c r="BJ32" s="70"/>
      <c r="BK32" s="70">
        <v>0</v>
      </c>
      <c r="BL32" s="70"/>
      <c r="BM32" s="70">
        <v>0</v>
      </c>
      <c r="BN32" s="70"/>
      <c r="BO32" s="70">
        <v>0</v>
      </c>
      <c r="BP32" s="70">
        <v>0</v>
      </c>
      <c r="BQ32" s="70">
        <v>0</v>
      </c>
      <c r="BR32" s="70">
        <v>0</v>
      </c>
      <c r="BS32" s="240">
        <v>0</v>
      </c>
      <c r="BT32" s="223">
        <v>1</v>
      </c>
      <c r="BU32" s="70" t="s">
        <v>1569</v>
      </c>
      <c r="BV32" s="70">
        <v>0</v>
      </c>
      <c r="BW32" s="70">
        <v>0</v>
      </c>
      <c r="BX32" s="70">
        <v>0</v>
      </c>
      <c r="BY32" s="70"/>
      <c r="BZ32" s="70"/>
      <c r="CA32" s="70"/>
      <c r="CB32" s="70">
        <v>0</v>
      </c>
      <c r="CC32" s="70">
        <v>0</v>
      </c>
      <c r="CD32" s="70">
        <v>0</v>
      </c>
      <c r="CE32" s="70"/>
      <c r="CF32" s="70"/>
      <c r="CG32" s="70"/>
      <c r="CH32" s="70">
        <v>0</v>
      </c>
      <c r="CI32" s="70"/>
      <c r="CJ32" s="70">
        <v>0</v>
      </c>
      <c r="CK32" s="70">
        <v>0</v>
      </c>
      <c r="CL32" s="70">
        <v>0</v>
      </c>
      <c r="CM32" s="47">
        <v>101</v>
      </c>
      <c r="CN32" s="47">
        <v>71</v>
      </c>
      <c r="CP32" s="504">
        <v>30.4</v>
      </c>
      <c r="CQ32" s="504">
        <v>32.1</v>
      </c>
      <c r="CR32" s="54">
        <v>43549</v>
      </c>
      <c r="CS32" s="54">
        <v>43567</v>
      </c>
      <c r="CT32" s="78">
        <v>16</v>
      </c>
      <c r="CU32" s="79">
        <v>44288</v>
      </c>
      <c r="CV32" s="59">
        <v>0</v>
      </c>
      <c r="CW32" s="54"/>
      <c r="CX32" s="59">
        <v>0</v>
      </c>
      <c r="CY32" s="59">
        <v>0</v>
      </c>
      <c r="CZ32" s="59">
        <v>0</v>
      </c>
      <c r="DA32" s="54"/>
      <c r="DB32" s="59">
        <v>0</v>
      </c>
      <c r="DC32" s="54"/>
      <c r="DD32" s="59">
        <v>0</v>
      </c>
      <c r="DE32" s="54"/>
      <c r="DF32" s="59">
        <v>0</v>
      </c>
      <c r="DG32" s="54"/>
      <c r="DH32" s="54"/>
      <c r="DI32" s="70"/>
      <c r="DJ32" s="70"/>
      <c r="DK32" s="70"/>
      <c r="DL32" s="70"/>
      <c r="DM32" s="70"/>
      <c r="DN32" s="70"/>
      <c r="DO32" s="70"/>
      <c r="DP32" s="70"/>
      <c r="DQ32" s="70"/>
      <c r="DR32" s="70"/>
      <c r="DS32" s="70"/>
      <c r="DT32" s="70"/>
      <c r="DU32" s="70"/>
      <c r="DV32" s="70"/>
      <c r="DW32" s="70"/>
      <c r="DX32" s="70"/>
      <c r="DY32" s="70"/>
      <c r="DZ32" s="70"/>
      <c r="EA32" s="70"/>
      <c r="EB32" s="70"/>
      <c r="EC32" s="70"/>
      <c r="ED32" s="70"/>
      <c r="EE32" s="70"/>
      <c r="EF32" s="70"/>
      <c r="EG32" s="70"/>
      <c r="EH32" s="70"/>
      <c r="EI32" s="70"/>
    </row>
    <row r="33" spans="1:139" s="47" customFormat="1" ht="39.75" customHeight="1">
      <c r="A33" s="50">
        <v>68</v>
      </c>
      <c r="B33" s="54">
        <v>43543</v>
      </c>
      <c r="C33" s="55">
        <v>43543.964583333334</v>
      </c>
      <c r="D33" s="56">
        <v>40514146</v>
      </c>
      <c r="E33" s="50" t="s">
        <v>243</v>
      </c>
      <c r="F33" s="47" t="b">
        <v>1</v>
      </c>
      <c r="H33" s="50" t="s">
        <v>129</v>
      </c>
      <c r="I33" s="54">
        <v>22091</v>
      </c>
      <c r="J33" s="50">
        <v>58.772602739726025</v>
      </c>
      <c r="K33" s="181">
        <v>705.19395134779745</v>
      </c>
      <c r="L33" s="50" t="s">
        <v>166</v>
      </c>
      <c r="M33" s="186" t="s">
        <v>244</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v>1</v>
      </c>
      <c r="AK33" s="323">
        <f t="shared" si="0"/>
        <v>0</v>
      </c>
      <c r="AL33" s="186" t="s">
        <v>1571</v>
      </c>
      <c r="AM33" s="58">
        <v>43542</v>
      </c>
      <c r="AN33" s="52" t="s">
        <v>1530</v>
      </c>
      <c r="AO33" s="79">
        <v>43596</v>
      </c>
      <c r="AP33" s="50" t="s">
        <v>1570</v>
      </c>
      <c r="AQ33" s="58">
        <v>43544</v>
      </c>
      <c r="AR33" s="52">
        <v>0</v>
      </c>
      <c r="AS33" s="52"/>
      <c r="AT33" s="323">
        <v>0</v>
      </c>
      <c r="AU33" s="52">
        <v>1</v>
      </c>
      <c r="AV33" s="52">
        <v>0</v>
      </c>
      <c r="AW33" s="52">
        <v>1</v>
      </c>
      <c r="AX33" s="52" t="s">
        <v>246</v>
      </c>
      <c r="AY33" s="70"/>
      <c r="AZ33" s="70" t="s">
        <v>1568</v>
      </c>
      <c r="BA33" s="47">
        <v>0</v>
      </c>
      <c r="BB33" s="69">
        <v>1</v>
      </c>
      <c r="BC33" s="69">
        <v>10</v>
      </c>
      <c r="BD33" s="69">
        <v>0</v>
      </c>
      <c r="BE33" s="69">
        <v>0</v>
      </c>
      <c r="BF33" s="234">
        <v>0</v>
      </c>
      <c r="BG33" s="766">
        <v>0</v>
      </c>
      <c r="BH33" s="766"/>
      <c r="BI33" s="225">
        <v>0</v>
      </c>
      <c r="BJ33" s="70"/>
      <c r="BK33" s="70">
        <v>0</v>
      </c>
      <c r="BL33" s="70"/>
      <c r="BM33" s="70">
        <v>0</v>
      </c>
      <c r="BN33" s="70"/>
      <c r="BO33" s="70">
        <v>0</v>
      </c>
      <c r="BP33" s="70">
        <v>0</v>
      </c>
      <c r="BQ33" s="70">
        <v>0</v>
      </c>
      <c r="BR33" s="70">
        <v>0</v>
      </c>
      <c r="BS33" s="240">
        <v>0</v>
      </c>
      <c r="BT33" s="223">
        <v>1</v>
      </c>
      <c r="BU33" s="70" t="s">
        <v>1572</v>
      </c>
      <c r="BV33" s="70">
        <v>0</v>
      </c>
      <c r="BW33" s="70">
        <v>0</v>
      </c>
      <c r="BX33" s="70">
        <v>0</v>
      </c>
      <c r="BY33" s="70"/>
      <c r="BZ33" s="70"/>
      <c r="CA33" s="70"/>
      <c r="CB33" s="70">
        <v>0</v>
      </c>
      <c r="CC33" s="70">
        <v>0</v>
      </c>
      <c r="CD33" s="70">
        <v>0</v>
      </c>
      <c r="CE33" s="70"/>
      <c r="CF33" s="70"/>
      <c r="CG33" s="70"/>
      <c r="CH33" s="70">
        <v>0</v>
      </c>
      <c r="CI33" s="70"/>
      <c r="CJ33" s="70">
        <v>0</v>
      </c>
      <c r="CK33" s="70">
        <v>0</v>
      </c>
      <c r="CL33" s="70">
        <v>0</v>
      </c>
      <c r="CM33" s="47">
        <v>106</v>
      </c>
      <c r="CN33" s="47">
        <v>73</v>
      </c>
      <c r="CP33" s="504">
        <v>27.4</v>
      </c>
      <c r="CQ33" s="504">
        <v>29.8</v>
      </c>
      <c r="CR33" s="54">
        <v>43542</v>
      </c>
      <c r="CS33" s="54">
        <v>43596</v>
      </c>
      <c r="CT33" s="78">
        <v>53</v>
      </c>
      <c r="CU33" s="79">
        <v>43596</v>
      </c>
      <c r="CV33" s="59">
        <v>1</v>
      </c>
      <c r="CW33" s="79">
        <v>43596</v>
      </c>
      <c r="CX33" s="59">
        <v>1</v>
      </c>
      <c r="CY33" s="59">
        <v>0</v>
      </c>
      <c r="CZ33" s="59">
        <v>1</v>
      </c>
      <c r="DA33" s="54" t="s">
        <v>1573</v>
      </c>
      <c r="DB33" s="59">
        <v>0</v>
      </c>
      <c r="DC33" s="54"/>
      <c r="DD33" s="59">
        <v>0</v>
      </c>
      <c r="DE33" s="54"/>
      <c r="DF33" s="59">
        <v>0</v>
      </c>
      <c r="DG33" s="54"/>
      <c r="DH33" s="54"/>
      <c r="DI33" s="70"/>
      <c r="DJ33" s="70"/>
      <c r="DK33" s="70"/>
      <c r="DL33" s="70"/>
      <c r="DM33" s="70"/>
      <c r="DN33" s="70"/>
      <c r="DO33" s="70"/>
      <c r="DP33" s="70"/>
      <c r="DQ33" s="70"/>
      <c r="DR33" s="70"/>
      <c r="DS33" s="70"/>
      <c r="DT33" s="70"/>
      <c r="DU33" s="70"/>
      <c r="DV33" s="70"/>
      <c r="DW33" s="70"/>
      <c r="DX33" s="70"/>
      <c r="DY33" s="70"/>
      <c r="DZ33" s="70"/>
      <c r="EA33" s="70"/>
      <c r="EB33" s="70"/>
      <c r="EC33" s="70"/>
      <c r="ED33" s="70"/>
      <c r="EE33" s="70"/>
      <c r="EF33" s="70"/>
      <c r="EG33" s="70"/>
      <c r="EH33" s="70"/>
      <c r="EI33" s="70"/>
    </row>
    <row r="34" spans="1:139" s="48" customFormat="1" ht="39.75" customHeight="1">
      <c r="A34" s="60">
        <v>69</v>
      </c>
      <c r="B34" s="61">
        <v>43536</v>
      </c>
      <c r="C34" s="62">
        <v>43536.500694444447</v>
      </c>
      <c r="D34" s="63">
        <v>41716947</v>
      </c>
      <c r="E34" s="60" t="s">
        <v>247</v>
      </c>
      <c r="F34" s="48" t="b">
        <v>0</v>
      </c>
      <c r="G34" s="48" t="s">
        <v>1487</v>
      </c>
      <c r="H34" s="60" t="s">
        <v>113</v>
      </c>
      <c r="I34" s="61">
        <v>17001</v>
      </c>
      <c r="J34" s="60">
        <v>72.698630136986296</v>
      </c>
      <c r="K34" s="85">
        <v>872.28796844181454</v>
      </c>
      <c r="L34" s="60" t="s">
        <v>121</v>
      </c>
      <c r="M34" s="187" t="s">
        <v>248</v>
      </c>
      <c r="N34" s="48">
        <v>161</v>
      </c>
      <c r="O34" s="48">
        <v>52.4</v>
      </c>
      <c r="P34" s="48">
        <f t="shared" si="1"/>
        <v>20.215269472628368</v>
      </c>
      <c r="Q34" s="191"/>
      <c r="V34" s="51"/>
      <c r="Y34" s="216"/>
      <c r="Z34" s="336"/>
      <c r="AA34" s="324"/>
      <c r="AB34" s="324"/>
      <c r="AC34" s="324"/>
      <c r="AD34" s="324"/>
      <c r="AE34" s="324"/>
      <c r="AF34" s="324"/>
      <c r="AG34" s="324"/>
      <c r="AH34" s="324"/>
      <c r="AI34" s="324"/>
      <c r="AJ34" s="324"/>
      <c r="AK34" s="324">
        <f t="shared" si="0"/>
        <v>0</v>
      </c>
      <c r="AL34" s="187"/>
      <c r="AM34" s="191"/>
      <c r="AN34" s="51"/>
      <c r="AO34" s="61"/>
      <c r="AP34" s="60"/>
      <c r="AQ34" s="191"/>
      <c r="AR34" s="51"/>
      <c r="AS34" s="51"/>
      <c r="AT34" s="324"/>
      <c r="AU34" s="51"/>
      <c r="AV34" s="51"/>
      <c r="AW34" s="51"/>
      <c r="AX34" s="60" t="s">
        <v>250</v>
      </c>
      <c r="AY34" s="71"/>
      <c r="AZ34" s="71"/>
      <c r="BB34" s="82"/>
      <c r="BC34" s="82"/>
      <c r="BD34" s="82"/>
      <c r="BE34" s="82"/>
      <c r="BF34" s="235"/>
      <c r="BG34" s="767"/>
      <c r="BH34" s="767"/>
      <c r="BI34" s="224"/>
      <c r="BJ34" s="71"/>
      <c r="BK34" s="71"/>
      <c r="BL34" s="71"/>
      <c r="BM34" s="71"/>
      <c r="BN34" s="71"/>
      <c r="BO34" s="71"/>
      <c r="BP34" s="71"/>
      <c r="BQ34" s="71"/>
      <c r="BR34" s="71"/>
      <c r="BS34" s="241"/>
      <c r="BT34" s="224" t="s">
        <v>249</v>
      </c>
      <c r="BU34" s="71"/>
      <c r="BV34" s="71"/>
      <c r="BW34" s="71"/>
      <c r="BX34" s="71"/>
      <c r="BY34" s="71"/>
      <c r="BZ34" s="71"/>
      <c r="CA34" s="71"/>
      <c r="CB34" s="71"/>
      <c r="CC34" s="71"/>
      <c r="CD34" s="71"/>
      <c r="CE34" s="71"/>
      <c r="CF34" s="71"/>
      <c r="CG34" s="71"/>
      <c r="CH34" s="71"/>
      <c r="CI34" s="71"/>
      <c r="CJ34" s="71"/>
      <c r="CK34" s="71"/>
      <c r="CL34" s="71"/>
      <c r="CM34" s="48">
        <v>144</v>
      </c>
      <c r="CN34" s="48">
        <v>127</v>
      </c>
      <c r="CP34" s="505">
        <v>30.9</v>
      </c>
      <c r="CQ34" s="505">
        <v>32</v>
      </c>
      <c r="CR34" s="61">
        <v>43532</v>
      </c>
      <c r="CS34" s="61">
        <v>43549</v>
      </c>
      <c r="CT34" s="83">
        <v>13</v>
      </c>
      <c r="CU34" s="84"/>
      <c r="CV34" s="65"/>
      <c r="CW34" s="61"/>
      <c r="CX34" s="65"/>
      <c r="CY34" s="65"/>
      <c r="CZ34" s="65"/>
      <c r="DA34" s="61"/>
      <c r="DB34" s="65"/>
      <c r="DC34" s="61"/>
      <c r="DD34" s="65"/>
      <c r="DE34" s="61"/>
      <c r="DF34" s="65"/>
      <c r="DG34" s="61"/>
      <c r="DH34" s="61"/>
      <c r="DI34" s="71"/>
      <c r="DJ34" s="71"/>
      <c r="DK34" s="71"/>
      <c r="DL34" s="71"/>
      <c r="DM34" s="71"/>
      <c r="DN34" s="71"/>
      <c r="DO34" s="71"/>
      <c r="DP34" s="71"/>
      <c r="DQ34" s="71"/>
      <c r="DR34" s="71"/>
      <c r="DS34" s="71"/>
      <c r="DT34" s="71"/>
      <c r="DU34" s="71"/>
      <c r="DV34" s="71"/>
      <c r="DW34" s="71"/>
      <c r="DX34" s="71"/>
      <c r="DY34" s="71"/>
      <c r="DZ34" s="71"/>
      <c r="EA34" s="71"/>
      <c r="EB34" s="71"/>
      <c r="EC34" s="71"/>
      <c r="ED34" s="71"/>
      <c r="EE34" s="71"/>
      <c r="EF34" s="71"/>
      <c r="EG34" s="71"/>
      <c r="EH34" s="71"/>
      <c r="EI34" s="71"/>
    </row>
    <row r="35" spans="1:139" s="48" customFormat="1" ht="39.75" customHeight="1">
      <c r="A35" s="60">
        <v>70</v>
      </c>
      <c r="B35" s="61">
        <v>43526</v>
      </c>
      <c r="C35" s="62">
        <v>43526.447916666664</v>
      </c>
      <c r="D35" s="63">
        <v>27985064</v>
      </c>
      <c r="E35" s="60" t="s">
        <v>251</v>
      </c>
      <c r="F35" s="48" t="b">
        <v>0</v>
      </c>
      <c r="G35" s="48" t="s">
        <v>1487</v>
      </c>
      <c r="H35" s="60" t="s">
        <v>113</v>
      </c>
      <c r="I35" s="61">
        <v>19324</v>
      </c>
      <c r="J35" s="60">
        <v>66.30684931506849</v>
      </c>
      <c r="K35" s="85">
        <v>795.59500328731099</v>
      </c>
      <c r="L35" s="60" t="s">
        <v>166</v>
      </c>
      <c r="M35" s="187" t="s">
        <v>252</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c r="AK35" s="324">
        <f t="shared" si="0"/>
        <v>0</v>
      </c>
      <c r="AL35" s="187"/>
      <c r="AM35" s="191"/>
      <c r="AN35" s="51"/>
      <c r="AO35" s="61"/>
      <c r="AP35" s="60"/>
      <c r="AQ35" s="191"/>
      <c r="AR35" s="51"/>
      <c r="AS35" s="51"/>
      <c r="AT35" s="324"/>
      <c r="AU35" s="51"/>
      <c r="AV35" s="51"/>
      <c r="AW35" s="51"/>
      <c r="AX35" s="51" t="s">
        <v>253</v>
      </c>
      <c r="AY35" s="71"/>
      <c r="AZ35" s="71"/>
      <c r="BB35" s="82"/>
      <c r="BC35" s="82"/>
      <c r="BD35" s="82"/>
      <c r="BE35" s="82"/>
      <c r="BF35" s="235"/>
      <c r="BG35" s="767"/>
      <c r="BH35" s="767"/>
      <c r="BI35" s="224"/>
      <c r="BJ35" s="71"/>
      <c r="BK35" s="71"/>
      <c r="BL35" s="71"/>
      <c r="BM35" s="71"/>
      <c r="BN35" s="71"/>
      <c r="BO35" s="71"/>
      <c r="BP35" s="71"/>
      <c r="BQ35" s="71"/>
      <c r="BR35" s="71"/>
      <c r="BS35" s="241"/>
      <c r="BT35" s="224" t="s">
        <v>245</v>
      </c>
      <c r="BU35" s="71"/>
      <c r="BV35" s="71"/>
      <c r="BW35" s="71"/>
      <c r="BX35" s="71"/>
      <c r="BY35" s="71"/>
      <c r="BZ35" s="71"/>
      <c r="CA35" s="71"/>
      <c r="CB35" s="71"/>
      <c r="CC35" s="71"/>
      <c r="CD35" s="71"/>
      <c r="CE35" s="71"/>
      <c r="CF35" s="71"/>
      <c r="CG35" s="71"/>
      <c r="CH35" s="71"/>
      <c r="CI35" s="71"/>
      <c r="CJ35" s="71"/>
      <c r="CK35" s="71"/>
      <c r="CL35" s="71"/>
      <c r="CM35" s="48">
        <v>128</v>
      </c>
      <c r="CN35" s="48">
        <v>93</v>
      </c>
      <c r="CP35" s="505">
        <v>30.2</v>
      </c>
      <c r="CQ35" s="505">
        <v>30.6</v>
      </c>
      <c r="CR35" s="61">
        <v>43525</v>
      </c>
      <c r="CS35" s="61">
        <v>43543</v>
      </c>
      <c r="CT35" s="83">
        <v>17</v>
      </c>
      <c r="CU35" s="84"/>
      <c r="CV35" s="65"/>
      <c r="CW35" s="61"/>
      <c r="CX35" s="65"/>
      <c r="CY35" s="65"/>
      <c r="CZ35" s="65"/>
      <c r="DA35" s="61"/>
      <c r="DB35" s="65"/>
      <c r="DC35" s="61"/>
      <c r="DD35" s="65"/>
      <c r="DE35" s="61"/>
      <c r="DF35" s="65"/>
      <c r="DG35" s="61"/>
      <c r="DH35" s="61"/>
      <c r="DI35" s="71"/>
      <c r="DJ35" s="71"/>
      <c r="DK35" s="71"/>
      <c r="DL35" s="71"/>
      <c r="DM35" s="71"/>
      <c r="DN35" s="71"/>
      <c r="DO35" s="71"/>
      <c r="DP35" s="71"/>
      <c r="DQ35" s="71"/>
      <c r="DR35" s="71"/>
      <c r="DS35" s="71"/>
      <c r="DT35" s="71"/>
      <c r="DU35" s="71"/>
      <c r="DV35" s="71"/>
      <c r="DW35" s="71"/>
      <c r="DX35" s="71"/>
      <c r="DY35" s="71"/>
      <c r="DZ35" s="71"/>
      <c r="EA35" s="71"/>
      <c r="EB35" s="71"/>
      <c r="EC35" s="71"/>
      <c r="ED35" s="71"/>
      <c r="EE35" s="71"/>
      <c r="EF35" s="71"/>
      <c r="EG35" s="71"/>
      <c r="EH35" s="71"/>
      <c r="EI35" s="71"/>
    </row>
    <row r="36" spans="1:139" s="47" customFormat="1" ht="39.75" customHeight="1">
      <c r="A36" s="50">
        <v>71</v>
      </c>
      <c r="B36" s="54">
        <v>43518</v>
      </c>
      <c r="C36" s="55">
        <v>43518.673611111109</v>
      </c>
      <c r="D36" s="56">
        <v>41747987</v>
      </c>
      <c r="E36" s="50" t="s">
        <v>254</v>
      </c>
      <c r="F36" s="47" t="b">
        <v>1</v>
      </c>
      <c r="H36" s="50" t="s">
        <v>113</v>
      </c>
      <c r="I36" s="54">
        <v>32260</v>
      </c>
      <c r="J36" s="50">
        <v>30.843835616438355</v>
      </c>
      <c r="K36" s="181">
        <v>370.08547008547009</v>
      </c>
      <c r="L36" s="50" t="s">
        <v>121</v>
      </c>
      <c r="M36" s="186" t="s">
        <v>255</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v>0</v>
      </c>
      <c r="AK36" s="323">
        <f t="shared" si="0"/>
        <v>0</v>
      </c>
      <c r="AL36" s="186"/>
      <c r="AM36" s="58">
        <v>43513</v>
      </c>
      <c r="AN36" s="52" t="s">
        <v>1574</v>
      </c>
      <c r="AO36" s="54">
        <v>43576</v>
      </c>
      <c r="AP36" s="50" t="s">
        <v>187</v>
      </c>
      <c r="AQ36" s="58">
        <v>43518</v>
      </c>
      <c r="AR36" s="52">
        <v>1</v>
      </c>
      <c r="AS36" s="52" t="s">
        <v>256</v>
      </c>
      <c r="AT36" s="323">
        <v>0</v>
      </c>
      <c r="AU36" s="52">
        <v>0</v>
      </c>
      <c r="AV36" s="52">
        <v>0</v>
      </c>
      <c r="AW36" s="52">
        <v>1</v>
      </c>
      <c r="AX36" s="52" t="s">
        <v>257</v>
      </c>
      <c r="AY36" s="70"/>
      <c r="AZ36" s="70" t="s">
        <v>1575</v>
      </c>
      <c r="BA36" s="47">
        <v>0</v>
      </c>
      <c r="BB36" s="69">
        <v>1</v>
      </c>
      <c r="BC36" s="69"/>
      <c r="BD36" s="69">
        <v>0</v>
      </c>
      <c r="BE36" s="69">
        <v>0</v>
      </c>
      <c r="BF36" s="234">
        <v>0</v>
      </c>
      <c r="BG36" s="766">
        <v>0</v>
      </c>
      <c r="BH36" s="766"/>
      <c r="BI36" s="223">
        <v>1</v>
      </c>
      <c r="BJ36" s="70"/>
      <c r="BK36" s="70">
        <v>1</v>
      </c>
      <c r="BL36" s="70" t="s">
        <v>1576</v>
      </c>
      <c r="BM36" s="70">
        <v>1</v>
      </c>
      <c r="BN36" s="70" t="s">
        <v>1577</v>
      </c>
      <c r="BO36" s="70">
        <v>0</v>
      </c>
      <c r="BP36" s="70">
        <v>0</v>
      </c>
      <c r="BQ36" s="70">
        <v>0</v>
      </c>
      <c r="BR36" s="70">
        <v>0</v>
      </c>
      <c r="BS36" s="242">
        <v>1</v>
      </c>
      <c r="BT36" s="223">
        <v>0</v>
      </c>
      <c r="BU36" s="70"/>
      <c r="BV36" s="70">
        <v>0</v>
      </c>
      <c r="BW36" s="70">
        <v>0</v>
      </c>
      <c r="BX36" s="70">
        <v>0</v>
      </c>
      <c r="BY36" s="70"/>
      <c r="BZ36" s="70"/>
      <c r="CA36" s="70"/>
      <c r="CB36" s="77">
        <v>0</v>
      </c>
      <c r="CC36" s="77">
        <v>0</v>
      </c>
      <c r="CD36" s="77">
        <v>0</v>
      </c>
      <c r="CE36" s="77"/>
      <c r="CF36" s="77"/>
      <c r="CG36" s="70"/>
      <c r="CH36" s="70">
        <v>0</v>
      </c>
      <c r="CI36" s="70"/>
      <c r="CJ36" s="70">
        <v>0</v>
      </c>
      <c r="CK36" s="70">
        <v>0</v>
      </c>
      <c r="CL36" s="70">
        <v>0</v>
      </c>
      <c r="CM36" s="47">
        <v>139</v>
      </c>
      <c r="CN36" s="47">
        <v>120</v>
      </c>
      <c r="CP36" s="504">
        <v>31.1</v>
      </c>
      <c r="CQ36" s="504">
        <v>32.4</v>
      </c>
      <c r="CR36" s="54">
        <v>43517</v>
      </c>
      <c r="CS36" s="54">
        <v>43528</v>
      </c>
      <c r="CT36" s="78">
        <v>10</v>
      </c>
      <c r="CU36" s="79">
        <v>43619</v>
      </c>
      <c r="CV36" s="59">
        <v>0</v>
      </c>
      <c r="CW36" s="54"/>
      <c r="CX36" s="59">
        <v>0</v>
      </c>
      <c r="CY36" s="59">
        <v>0</v>
      </c>
      <c r="CZ36" s="59">
        <v>0</v>
      </c>
      <c r="DA36" s="54"/>
      <c r="DB36" s="59">
        <v>0</v>
      </c>
      <c r="DC36" s="54"/>
      <c r="DD36" s="59">
        <v>0</v>
      </c>
      <c r="DE36" s="54"/>
      <c r="DF36" s="59">
        <v>0</v>
      </c>
      <c r="DG36" s="54"/>
      <c r="DH36" s="66"/>
      <c r="DI36" s="70"/>
      <c r="DJ36" s="70"/>
      <c r="DK36" s="70"/>
      <c r="DL36" s="70"/>
      <c r="DM36" s="70"/>
      <c r="DN36" s="70"/>
      <c r="DO36" s="70"/>
      <c r="DP36" s="70"/>
      <c r="DQ36" s="70"/>
      <c r="DR36" s="70"/>
      <c r="DS36" s="70"/>
      <c r="DT36" s="70"/>
      <c r="DU36" s="70"/>
      <c r="DV36" s="70"/>
      <c r="DW36" s="70"/>
      <c r="DX36" s="70"/>
      <c r="DY36" s="70"/>
      <c r="DZ36" s="70"/>
      <c r="EA36" s="70"/>
      <c r="EB36" s="70"/>
      <c r="EC36" s="70"/>
      <c r="ED36" s="70"/>
      <c r="EE36" s="70"/>
      <c r="EF36" s="70"/>
      <c r="EG36" s="70"/>
      <c r="EH36" s="70"/>
      <c r="EI36" s="70"/>
    </row>
    <row r="37" spans="1:139" s="47" customFormat="1" ht="39.75" customHeight="1">
      <c r="A37" s="50">
        <v>73</v>
      </c>
      <c r="B37" s="54">
        <v>43509</v>
      </c>
      <c r="C37" s="55">
        <v>43509.668749999997</v>
      </c>
      <c r="D37" s="56">
        <v>41667058</v>
      </c>
      <c r="E37" s="50" t="s">
        <v>258</v>
      </c>
      <c r="F37" s="47" t="b">
        <v>1</v>
      </c>
      <c r="H37" s="50" t="s">
        <v>113</v>
      </c>
      <c r="I37" s="54">
        <v>34122</v>
      </c>
      <c r="J37" s="50">
        <v>25.717808219178082</v>
      </c>
      <c r="K37" s="181">
        <v>308.57988165680473</v>
      </c>
      <c r="L37" s="50" t="s">
        <v>121</v>
      </c>
      <c r="M37" s="186" t="s">
        <v>259</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v>0</v>
      </c>
      <c r="AK37" s="323">
        <f t="shared" si="0"/>
        <v>0</v>
      </c>
      <c r="AL37" s="186"/>
      <c r="AM37" s="58">
        <v>43508</v>
      </c>
      <c r="AN37" s="52" t="s">
        <v>1533</v>
      </c>
      <c r="AO37" s="54">
        <v>43559</v>
      </c>
      <c r="AP37" s="50" t="s">
        <v>260</v>
      </c>
      <c r="AQ37" s="58">
        <v>43507</v>
      </c>
      <c r="AR37" s="52">
        <v>0</v>
      </c>
      <c r="AS37" s="52"/>
      <c r="AT37" s="323">
        <v>0</v>
      </c>
      <c r="AU37" s="52">
        <v>0</v>
      </c>
      <c r="AV37" s="52">
        <v>0</v>
      </c>
      <c r="AW37" s="52">
        <v>1</v>
      </c>
      <c r="AX37" s="52" t="s">
        <v>262</v>
      </c>
      <c r="AY37" s="70"/>
      <c r="AZ37" s="70" t="s">
        <v>1578</v>
      </c>
      <c r="BA37" s="47">
        <v>0</v>
      </c>
      <c r="BB37" s="69">
        <v>1</v>
      </c>
      <c r="BC37" s="52">
        <v>30</v>
      </c>
      <c r="BD37" s="69">
        <v>0</v>
      </c>
      <c r="BE37" s="69">
        <v>0</v>
      </c>
      <c r="BF37" s="234">
        <v>0</v>
      </c>
      <c r="BG37" s="766">
        <v>0</v>
      </c>
      <c r="BH37" s="766"/>
      <c r="BI37" s="223">
        <v>1</v>
      </c>
      <c r="BJ37" s="70"/>
      <c r="BK37" s="70">
        <v>1</v>
      </c>
      <c r="BL37" s="70" t="s">
        <v>1579</v>
      </c>
      <c r="BM37" s="70">
        <v>1</v>
      </c>
      <c r="BN37" s="70" t="s">
        <v>1580</v>
      </c>
      <c r="BO37" s="70">
        <v>0</v>
      </c>
      <c r="BP37" s="70">
        <v>0</v>
      </c>
      <c r="BQ37" s="70">
        <v>1</v>
      </c>
      <c r="BR37" s="70">
        <v>0</v>
      </c>
      <c r="BS37" s="240">
        <v>0</v>
      </c>
      <c r="BT37" s="223">
        <v>0</v>
      </c>
      <c r="BU37" s="70"/>
      <c r="BV37" s="70">
        <v>0</v>
      </c>
      <c r="BW37" s="70">
        <v>0</v>
      </c>
      <c r="BX37" s="70">
        <v>0</v>
      </c>
      <c r="BY37" s="70"/>
      <c r="BZ37" s="70"/>
      <c r="CA37" s="70"/>
      <c r="CB37" s="77">
        <v>0</v>
      </c>
      <c r="CC37" s="77">
        <v>0</v>
      </c>
      <c r="CD37" s="77">
        <v>0</v>
      </c>
      <c r="CE37" s="77"/>
      <c r="CF37" s="77"/>
      <c r="CG37" s="70"/>
      <c r="CH37" s="70">
        <v>0</v>
      </c>
      <c r="CI37" s="70"/>
      <c r="CJ37" s="70">
        <v>0</v>
      </c>
      <c r="CK37" s="70">
        <v>0</v>
      </c>
      <c r="CL37" s="70">
        <v>0</v>
      </c>
      <c r="CM37" s="47">
        <v>148</v>
      </c>
      <c r="CN37" s="47">
        <v>132</v>
      </c>
      <c r="CP37" s="504">
        <v>29.5</v>
      </c>
      <c r="CQ37" s="504">
        <v>30.1</v>
      </c>
      <c r="CR37" s="54">
        <v>43507</v>
      </c>
      <c r="CS37" s="54">
        <v>43528</v>
      </c>
      <c r="CT37" s="78">
        <v>19</v>
      </c>
      <c r="CU37" s="79">
        <v>43563</v>
      </c>
      <c r="CV37" s="59">
        <v>0</v>
      </c>
      <c r="CW37" s="54"/>
      <c r="CX37" s="59">
        <v>0</v>
      </c>
      <c r="CY37" s="59">
        <v>0</v>
      </c>
      <c r="CZ37" s="59">
        <v>0</v>
      </c>
      <c r="DA37" s="54"/>
      <c r="DB37" s="59">
        <v>0</v>
      </c>
      <c r="DC37" s="54"/>
      <c r="DD37" s="59">
        <v>0</v>
      </c>
      <c r="DE37" s="54"/>
      <c r="DF37" s="59">
        <v>0</v>
      </c>
      <c r="DG37" s="54"/>
      <c r="DH37" s="66"/>
      <c r="DI37" s="70"/>
      <c r="DJ37" s="70"/>
      <c r="DK37" s="70"/>
      <c r="DL37" s="70"/>
      <c r="DM37" s="70"/>
      <c r="DN37" s="70"/>
      <c r="DO37" s="70"/>
      <c r="DP37" s="70"/>
      <c r="DQ37" s="70"/>
      <c r="DR37" s="70"/>
      <c r="DS37" s="70"/>
      <c r="DT37" s="70"/>
      <c r="DU37" s="70"/>
      <c r="DV37" s="70"/>
      <c r="DW37" s="70"/>
      <c r="DX37" s="70"/>
      <c r="DY37" s="70"/>
      <c r="DZ37" s="70"/>
      <c r="EA37" s="70"/>
      <c r="EB37" s="70"/>
      <c r="EC37" s="70"/>
      <c r="ED37" s="70"/>
      <c r="EE37" s="70"/>
      <c r="EF37" s="70"/>
      <c r="EG37" s="70"/>
      <c r="EH37" s="70"/>
      <c r="EI37" s="70"/>
    </row>
    <row r="38" spans="1:139" s="47" customFormat="1" ht="39.75" customHeight="1">
      <c r="A38" s="50">
        <v>76</v>
      </c>
      <c r="B38" s="54">
        <v>43458</v>
      </c>
      <c r="C38" s="55">
        <v>43458.688888888886</v>
      </c>
      <c r="D38" s="56">
        <v>41347109</v>
      </c>
      <c r="E38" s="50" t="s">
        <v>263</v>
      </c>
      <c r="F38" s="47" t="b">
        <v>1</v>
      </c>
      <c r="H38" s="50" t="s">
        <v>113</v>
      </c>
      <c r="I38" s="54">
        <v>31508</v>
      </c>
      <c r="J38" s="50">
        <v>32.739726027397261</v>
      </c>
      <c r="K38" s="181">
        <v>392.83366206443128</v>
      </c>
      <c r="L38" s="50" t="s">
        <v>125</v>
      </c>
      <c r="M38" s="192" t="s">
        <v>264</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v>0</v>
      </c>
      <c r="AK38" s="323">
        <f t="shared" si="0"/>
        <v>1</v>
      </c>
      <c r="AL38" s="186" t="s">
        <v>265</v>
      </c>
      <c r="AM38" s="58">
        <v>43430</v>
      </c>
      <c r="AN38" s="52" t="s">
        <v>1581</v>
      </c>
      <c r="AO38" s="54">
        <v>43472</v>
      </c>
      <c r="AP38" s="50" t="s">
        <v>266</v>
      </c>
      <c r="AQ38" s="58">
        <v>43429</v>
      </c>
      <c r="AR38" s="52">
        <v>1</v>
      </c>
      <c r="AS38" s="52" t="s">
        <v>267</v>
      </c>
      <c r="AT38" s="323">
        <v>0</v>
      </c>
      <c r="AU38" s="52">
        <v>1</v>
      </c>
      <c r="AV38" s="52">
        <v>0</v>
      </c>
      <c r="AW38" s="52">
        <v>1</v>
      </c>
      <c r="AX38" s="80" t="s">
        <v>268</v>
      </c>
      <c r="AY38" s="70"/>
      <c r="AZ38" s="193" t="s">
        <v>1582</v>
      </c>
      <c r="BA38" s="47">
        <v>0</v>
      </c>
      <c r="BB38" s="69">
        <v>1</v>
      </c>
      <c r="BC38" s="69"/>
      <c r="BD38" s="69">
        <v>1</v>
      </c>
      <c r="BE38" s="69">
        <v>0</v>
      </c>
      <c r="BF38" s="234">
        <v>0</v>
      </c>
      <c r="BG38" s="766">
        <v>0</v>
      </c>
      <c r="BH38" s="766"/>
      <c r="BI38" s="223">
        <v>1</v>
      </c>
      <c r="BJ38" s="70"/>
      <c r="BK38" s="70">
        <v>1</v>
      </c>
      <c r="BL38" s="70" t="s">
        <v>1583</v>
      </c>
      <c r="BM38" s="80">
        <v>1</v>
      </c>
      <c r="BN38" s="80" t="s">
        <v>1584</v>
      </c>
      <c r="BO38" s="80">
        <v>0</v>
      </c>
      <c r="BP38" s="80">
        <v>1</v>
      </c>
      <c r="BQ38" s="80">
        <v>0</v>
      </c>
      <c r="BR38" s="80">
        <v>0</v>
      </c>
      <c r="BS38" s="242">
        <v>1</v>
      </c>
      <c r="BT38" s="223">
        <v>0</v>
      </c>
      <c r="BU38" s="70"/>
      <c r="BV38" s="70">
        <v>0</v>
      </c>
      <c r="BW38" s="70">
        <v>0</v>
      </c>
      <c r="BX38" s="70">
        <v>0</v>
      </c>
      <c r="BY38" s="70"/>
      <c r="BZ38" s="70"/>
      <c r="CA38" s="70"/>
      <c r="CB38" s="77">
        <v>0</v>
      </c>
      <c r="CC38" s="77">
        <v>0</v>
      </c>
      <c r="CD38" s="77">
        <v>0</v>
      </c>
      <c r="CE38" s="77"/>
      <c r="CF38" s="77"/>
      <c r="CG38" s="70"/>
      <c r="CH38" s="70">
        <v>0</v>
      </c>
      <c r="CI38" s="70"/>
      <c r="CJ38" s="70">
        <v>0</v>
      </c>
      <c r="CK38" s="70">
        <v>0</v>
      </c>
      <c r="CL38" s="70">
        <v>0</v>
      </c>
      <c r="CM38" s="47">
        <v>97</v>
      </c>
      <c r="CN38" s="47">
        <v>83</v>
      </c>
      <c r="CP38" s="504">
        <v>30.7</v>
      </c>
      <c r="CQ38" s="504">
        <v>32.4</v>
      </c>
      <c r="CR38" s="54">
        <v>43455</v>
      </c>
      <c r="CS38" s="54">
        <v>43482</v>
      </c>
      <c r="CT38" s="78">
        <v>24</v>
      </c>
      <c r="CU38" s="79">
        <v>44259</v>
      </c>
      <c r="CV38" s="59">
        <v>0</v>
      </c>
      <c r="CW38" s="54"/>
      <c r="CX38" s="59">
        <v>0</v>
      </c>
      <c r="CY38" s="59">
        <v>0</v>
      </c>
      <c r="CZ38" s="59">
        <v>0</v>
      </c>
      <c r="DA38" s="54"/>
      <c r="DB38" s="59">
        <v>0</v>
      </c>
      <c r="DC38" s="54"/>
      <c r="DD38" s="59">
        <v>0</v>
      </c>
      <c r="DE38" s="54"/>
      <c r="DF38" s="59">
        <v>0</v>
      </c>
      <c r="DG38" s="54"/>
      <c r="DH38" s="66"/>
      <c r="DI38" s="70"/>
      <c r="DJ38" s="50"/>
      <c r="DK38" s="50"/>
      <c r="DL38" s="50"/>
      <c r="DM38" s="50"/>
      <c r="DN38" s="50"/>
      <c r="DO38" s="50"/>
      <c r="DP38" s="70"/>
      <c r="DQ38" s="70"/>
      <c r="DR38" s="70"/>
      <c r="DS38" s="70"/>
      <c r="DT38" s="70"/>
      <c r="DU38" s="70"/>
      <c r="DV38" s="70"/>
      <c r="DW38" s="70"/>
      <c r="DX38" s="70"/>
      <c r="DY38" s="70"/>
      <c r="DZ38" s="70"/>
      <c r="EA38" s="70"/>
      <c r="EB38" s="70"/>
      <c r="EC38" s="70"/>
      <c r="ED38" s="70"/>
      <c r="EE38" s="70"/>
      <c r="EF38" s="70"/>
      <c r="EG38" s="70"/>
      <c r="EH38" s="70"/>
      <c r="EI38" s="70"/>
    </row>
    <row r="39" spans="1:139" s="196" customFormat="1" ht="39.75" customHeight="1">
      <c r="A39" s="90">
        <v>77</v>
      </c>
      <c r="B39" s="88">
        <v>43450</v>
      </c>
      <c r="C39" s="194">
        <v>43450.368055555555</v>
      </c>
      <c r="D39" s="195">
        <v>19396946</v>
      </c>
      <c r="E39" s="90" t="s">
        <v>269</v>
      </c>
      <c r="F39" s="196" t="s">
        <v>1590</v>
      </c>
      <c r="G39" s="196" t="s">
        <v>1589</v>
      </c>
      <c r="H39" s="90" t="s">
        <v>113</v>
      </c>
      <c r="I39" s="88">
        <v>25801</v>
      </c>
      <c r="J39" s="90">
        <v>48.353424657534248</v>
      </c>
      <c r="K39" s="197">
        <v>580.17751479289939</v>
      </c>
      <c r="L39" s="90" t="s">
        <v>114</v>
      </c>
      <c r="M39" s="198" t="s">
        <v>270</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c r="AK39" s="326">
        <f t="shared" si="0"/>
        <v>0</v>
      </c>
      <c r="AL39" s="198" t="s">
        <v>1585</v>
      </c>
      <c r="AM39" s="199">
        <v>43445</v>
      </c>
      <c r="AN39" s="200" t="s">
        <v>1586</v>
      </c>
      <c r="AO39" s="88">
        <v>43475</v>
      </c>
      <c r="AP39" s="90" t="s">
        <v>1587</v>
      </c>
      <c r="AQ39" s="199"/>
      <c r="AR39" s="200">
        <v>0</v>
      </c>
      <c r="AS39" s="200"/>
      <c r="AT39" s="326">
        <v>0</v>
      </c>
      <c r="AU39" s="200">
        <v>0</v>
      </c>
      <c r="AV39" s="200">
        <v>0</v>
      </c>
      <c r="AW39" s="200">
        <v>1</v>
      </c>
      <c r="AX39" s="90" t="s">
        <v>271</v>
      </c>
      <c r="AY39" s="201"/>
      <c r="AZ39" s="202" t="s">
        <v>1578</v>
      </c>
      <c r="BA39" s="196">
        <v>0</v>
      </c>
      <c r="BB39" s="203">
        <v>1</v>
      </c>
      <c r="BC39" s="203"/>
      <c r="BD39" s="203">
        <v>1</v>
      </c>
      <c r="BE39" s="203">
        <v>0</v>
      </c>
      <c r="BF39" s="236">
        <v>0</v>
      </c>
      <c r="BG39" s="768"/>
      <c r="BH39" s="768"/>
      <c r="BI39" s="226">
        <v>0</v>
      </c>
      <c r="BJ39" s="201"/>
      <c r="BK39" s="201">
        <v>0</v>
      </c>
      <c r="BL39" s="201"/>
      <c r="BM39" s="201">
        <v>0</v>
      </c>
      <c r="BN39" s="201"/>
      <c r="BO39" s="201">
        <v>0</v>
      </c>
      <c r="BP39" s="201">
        <v>0</v>
      </c>
      <c r="BQ39" s="201">
        <v>0</v>
      </c>
      <c r="BR39" s="201">
        <v>0</v>
      </c>
      <c r="BS39" s="243">
        <v>0</v>
      </c>
      <c r="BT39" s="226">
        <v>1</v>
      </c>
      <c r="BU39" s="201" t="s">
        <v>1588</v>
      </c>
      <c r="BV39" s="201">
        <v>0</v>
      </c>
      <c r="BW39" s="201">
        <v>0</v>
      </c>
      <c r="BX39" s="201">
        <v>0</v>
      </c>
      <c r="BY39" s="201"/>
      <c r="BZ39" s="201"/>
      <c r="CA39" s="201"/>
      <c r="CB39" s="204">
        <v>0</v>
      </c>
      <c r="CC39" s="204">
        <v>0</v>
      </c>
      <c r="CD39" s="204">
        <v>0</v>
      </c>
      <c r="CE39" s="201"/>
      <c r="CF39" s="201"/>
      <c r="CG39" s="201"/>
      <c r="CH39" s="201">
        <v>0</v>
      </c>
      <c r="CI39" s="201"/>
      <c r="CJ39" s="201"/>
      <c r="CK39" s="201"/>
      <c r="CL39" s="201"/>
      <c r="CM39" s="196">
        <v>78</v>
      </c>
      <c r="CN39" s="196">
        <v>58</v>
      </c>
      <c r="CP39" s="506">
        <v>30.5</v>
      </c>
      <c r="CQ39" s="506">
        <v>31.4</v>
      </c>
      <c r="CR39" s="88">
        <v>43444</v>
      </c>
      <c r="CS39" s="88">
        <v>43487</v>
      </c>
      <c r="CT39" s="205">
        <f>CS39-CR39</f>
        <v>43</v>
      </c>
      <c r="CU39" s="206">
        <v>44282</v>
      </c>
      <c r="CV39" s="89">
        <v>0</v>
      </c>
      <c r="CW39" s="90"/>
      <c r="CX39" s="89"/>
      <c r="CY39" s="89"/>
      <c r="CZ39" s="89"/>
      <c r="DA39" s="90"/>
      <c r="DB39" s="89">
        <v>0</v>
      </c>
      <c r="DC39" s="90"/>
      <c r="DD39" s="89">
        <v>0</v>
      </c>
      <c r="DE39" s="90"/>
      <c r="DF39" s="89">
        <v>0</v>
      </c>
      <c r="DG39" s="90"/>
      <c r="DH39" s="90" t="s">
        <v>1589</v>
      </c>
      <c r="DI39" s="201"/>
      <c r="DJ39" s="90"/>
      <c r="DK39" s="90"/>
      <c r="DL39" s="90"/>
      <c r="DM39" s="90"/>
      <c r="DN39" s="90"/>
      <c r="DO39" s="90"/>
      <c r="DP39" s="201"/>
      <c r="DQ39" s="201"/>
      <c r="DR39" s="201"/>
      <c r="DS39" s="201"/>
      <c r="DT39" s="201"/>
      <c r="DU39" s="201"/>
      <c r="DV39" s="201"/>
      <c r="DW39" s="201"/>
      <c r="DX39" s="201"/>
      <c r="DY39" s="201"/>
      <c r="DZ39" s="201"/>
      <c r="EA39" s="201"/>
      <c r="EB39" s="201"/>
      <c r="EC39" s="201"/>
      <c r="ED39" s="201"/>
      <c r="EE39" s="201"/>
      <c r="EF39" s="201"/>
      <c r="EG39" s="201"/>
      <c r="EH39" s="201"/>
      <c r="EI39" s="201"/>
    </row>
    <row r="40" spans="1:139" s="47" customFormat="1" ht="39.75" customHeight="1">
      <c r="A40" s="50">
        <v>79</v>
      </c>
      <c r="B40" s="54">
        <v>43441</v>
      </c>
      <c r="C40" s="55">
        <v>43441.763194444444</v>
      </c>
      <c r="D40" s="56">
        <v>41206158</v>
      </c>
      <c r="E40" s="50" t="s">
        <v>272</v>
      </c>
      <c r="F40" s="47" t="b">
        <v>1</v>
      </c>
      <c r="H40" s="50" t="s">
        <v>113</v>
      </c>
      <c r="I40" s="54">
        <v>26558</v>
      </c>
      <c r="J40" s="50">
        <v>46.254794520547946</v>
      </c>
      <c r="K40" s="181">
        <v>554.99671268902034</v>
      </c>
      <c r="L40" s="50" t="s">
        <v>114</v>
      </c>
      <c r="M40" s="186" t="s">
        <v>273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59">
        <v>0</v>
      </c>
      <c r="AK40" s="323">
        <f t="shared" si="0"/>
        <v>1</v>
      </c>
      <c r="AL40" s="186" t="s">
        <v>1591</v>
      </c>
      <c r="AM40" s="54">
        <v>43440</v>
      </c>
      <c r="AN40" s="50" t="s">
        <v>1592</v>
      </c>
      <c r="AO40" s="54">
        <v>43470</v>
      </c>
      <c r="AP40" s="50" t="s">
        <v>1593</v>
      </c>
      <c r="AQ40" s="54">
        <v>43440</v>
      </c>
      <c r="AR40" s="50">
        <v>1</v>
      </c>
      <c r="AS40" s="50" t="s">
        <v>1594</v>
      </c>
      <c r="AT40" s="59">
        <v>0</v>
      </c>
      <c r="AU40" s="50">
        <v>1</v>
      </c>
      <c r="AV40" s="50">
        <v>0</v>
      </c>
      <c r="AW40" s="50">
        <v>1</v>
      </c>
      <c r="AX40" s="50" t="s">
        <v>274</v>
      </c>
      <c r="AY40" s="70"/>
      <c r="AZ40" s="193" t="s">
        <v>1596</v>
      </c>
      <c r="BA40" s="47">
        <v>0</v>
      </c>
      <c r="BB40" s="69">
        <v>1</v>
      </c>
      <c r="BC40" s="69"/>
      <c r="BD40" s="69">
        <v>0</v>
      </c>
      <c r="BE40" s="69">
        <v>0</v>
      </c>
      <c r="BF40" s="234">
        <v>0</v>
      </c>
      <c r="BG40" s="766">
        <v>0</v>
      </c>
      <c r="BH40" s="766"/>
      <c r="BI40" s="223">
        <v>0</v>
      </c>
      <c r="BJ40" s="70"/>
      <c r="BK40" s="70">
        <v>0</v>
      </c>
      <c r="BL40" s="70"/>
      <c r="BM40" s="70">
        <v>0</v>
      </c>
      <c r="BN40" s="70"/>
      <c r="BO40" s="70">
        <v>0</v>
      </c>
      <c r="BP40" s="70">
        <v>0</v>
      </c>
      <c r="BQ40" s="70">
        <v>0</v>
      </c>
      <c r="BR40" s="70">
        <v>0</v>
      </c>
      <c r="BS40" s="240">
        <v>0</v>
      </c>
      <c r="BT40" s="223">
        <v>1</v>
      </c>
      <c r="BU40" s="70" t="s">
        <v>1595</v>
      </c>
      <c r="BV40" s="70">
        <v>0</v>
      </c>
      <c r="BW40" s="70">
        <v>0</v>
      </c>
      <c r="BX40" s="70">
        <v>0</v>
      </c>
      <c r="BY40" s="70"/>
      <c r="BZ40" s="70"/>
      <c r="CA40" s="70"/>
      <c r="CB40" s="70">
        <v>0</v>
      </c>
      <c r="CC40" s="70">
        <v>0</v>
      </c>
      <c r="CD40" s="70">
        <v>0</v>
      </c>
      <c r="CE40" s="70"/>
      <c r="CF40" s="70"/>
      <c r="CG40" s="70"/>
      <c r="CH40" s="70">
        <v>0</v>
      </c>
      <c r="CI40" s="70"/>
      <c r="CJ40" s="70">
        <v>0</v>
      </c>
      <c r="CK40" s="70">
        <v>0</v>
      </c>
      <c r="CL40" s="70">
        <v>0</v>
      </c>
      <c r="CM40" s="47">
        <v>69</v>
      </c>
      <c r="CN40" s="47">
        <v>51</v>
      </c>
      <c r="CP40" s="504">
        <v>31.3</v>
      </c>
      <c r="CQ40" s="504">
        <v>32.799999999999997</v>
      </c>
      <c r="CR40" s="54">
        <v>43440</v>
      </c>
      <c r="CS40" s="54">
        <v>43452</v>
      </c>
      <c r="CT40" s="78">
        <v>11</v>
      </c>
      <c r="CU40" s="79">
        <v>44166</v>
      </c>
      <c r="CV40" s="59">
        <v>0</v>
      </c>
      <c r="CW40" s="54"/>
      <c r="CX40" s="59">
        <v>0</v>
      </c>
      <c r="CY40" s="59">
        <v>0</v>
      </c>
      <c r="CZ40" s="59">
        <v>0</v>
      </c>
      <c r="DA40" s="54"/>
      <c r="DB40" s="59">
        <v>0</v>
      </c>
      <c r="DC40" s="54"/>
      <c r="DD40" s="59">
        <v>0</v>
      </c>
      <c r="DE40" s="54"/>
      <c r="DF40" s="59">
        <v>0</v>
      </c>
      <c r="DG40" s="54"/>
      <c r="DH40" s="54"/>
      <c r="DI40" s="70"/>
      <c r="DJ40" s="50"/>
      <c r="DK40" s="50"/>
      <c r="DL40" s="50"/>
      <c r="DM40" s="50"/>
      <c r="DN40" s="50"/>
      <c r="DO40" s="50"/>
      <c r="DP40" s="70"/>
      <c r="DQ40" s="70"/>
      <c r="DR40" s="70"/>
      <c r="DS40" s="70"/>
      <c r="DT40" s="70"/>
      <c r="DU40" s="70"/>
      <c r="DV40" s="70"/>
      <c r="DW40" s="70"/>
      <c r="DX40" s="70"/>
      <c r="DY40" s="70"/>
      <c r="DZ40" s="70"/>
      <c r="EA40" s="70"/>
      <c r="EB40" s="70"/>
      <c r="EC40" s="70"/>
      <c r="ED40" s="70"/>
      <c r="EE40" s="70"/>
      <c r="EF40" s="70"/>
      <c r="EG40" s="70"/>
      <c r="EH40" s="70"/>
      <c r="EI40" s="70"/>
    </row>
    <row r="41" spans="1:139" s="48" customFormat="1" ht="39.75" customHeight="1">
      <c r="A41" s="60">
        <v>80</v>
      </c>
      <c r="B41" s="61">
        <v>43426</v>
      </c>
      <c r="C41" s="62">
        <v>43426.331944444442</v>
      </c>
      <c r="D41" s="63">
        <v>12646923</v>
      </c>
      <c r="E41" s="60" t="s">
        <v>275</v>
      </c>
      <c r="F41" s="48" t="b">
        <v>0</v>
      </c>
      <c r="G41" s="48" t="s">
        <v>1597</v>
      </c>
      <c r="H41" s="60" t="s">
        <v>113</v>
      </c>
      <c r="I41" s="61">
        <v>24200</v>
      </c>
      <c r="J41" s="60">
        <v>52.673972602739724</v>
      </c>
      <c r="K41" s="85">
        <v>632.01840894148586</v>
      </c>
      <c r="L41" s="60" t="s">
        <v>114</v>
      </c>
      <c r="M41" s="187" t="s">
        <v>276</v>
      </c>
      <c r="N41" s="48">
        <v>167</v>
      </c>
      <c r="O41" s="48">
        <v>57.5</v>
      </c>
      <c r="P41" s="48">
        <f t="shared" si="1"/>
        <v>20.617447739252036</v>
      </c>
      <c r="Q41" s="191"/>
      <c r="V41" s="51"/>
      <c r="Y41" s="216"/>
      <c r="Z41" s="336"/>
      <c r="AA41" s="324"/>
      <c r="AB41" s="324"/>
      <c r="AC41" s="324"/>
      <c r="AD41" s="324"/>
      <c r="AE41" s="324"/>
      <c r="AF41" s="324"/>
      <c r="AG41" s="324"/>
      <c r="AH41" s="324"/>
      <c r="AI41" s="324"/>
      <c r="AJ41" s="324"/>
      <c r="AK41" s="324">
        <f t="shared" si="0"/>
        <v>0</v>
      </c>
      <c r="AL41" s="187"/>
      <c r="AM41" s="191"/>
      <c r="AN41" s="51"/>
      <c r="AO41" s="61"/>
      <c r="AP41" s="60"/>
      <c r="AQ41" s="191"/>
      <c r="AR41" s="51"/>
      <c r="AS41" s="51"/>
      <c r="AT41" s="324"/>
      <c r="AU41" s="51"/>
      <c r="AV41" s="51"/>
      <c r="AW41" s="51"/>
      <c r="AX41" s="51" t="s">
        <v>277</v>
      </c>
      <c r="AY41" s="71"/>
      <c r="AZ41" s="91"/>
      <c r="BB41" s="82"/>
      <c r="BC41" s="82"/>
      <c r="BD41" s="82"/>
      <c r="BE41" s="82"/>
      <c r="BF41" s="235"/>
      <c r="BG41" s="767"/>
      <c r="BH41" s="767"/>
      <c r="BI41" s="224"/>
      <c r="BJ41" s="71"/>
      <c r="BK41" s="71"/>
      <c r="BL41" s="71"/>
      <c r="BM41" s="71"/>
      <c r="BN41" s="71"/>
      <c r="BO41" s="71"/>
      <c r="BP41" s="71"/>
      <c r="BQ41" s="71"/>
      <c r="BR41" s="71"/>
      <c r="BS41" s="241"/>
      <c r="BT41" s="224"/>
      <c r="BU41" s="71"/>
      <c r="BV41" s="71"/>
      <c r="BW41" s="71"/>
      <c r="BX41" s="71"/>
      <c r="BY41" s="71"/>
      <c r="BZ41" s="71"/>
      <c r="CA41" s="71"/>
      <c r="CB41" s="71"/>
      <c r="CC41" s="71"/>
      <c r="CD41" s="71"/>
      <c r="CE41" s="71"/>
      <c r="CF41" s="71"/>
      <c r="CG41" s="71"/>
      <c r="CH41" s="71"/>
      <c r="CI41" s="71"/>
      <c r="CJ41" s="71"/>
      <c r="CK41" s="71"/>
      <c r="CL41" s="71"/>
      <c r="CM41" s="48">
        <v>207</v>
      </c>
      <c r="CN41" s="48">
        <v>97</v>
      </c>
      <c r="CP41" s="505">
        <v>29</v>
      </c>
      <c r="CQ41" s="505">
        <v>30.5</v>
      </c>
      <c r="CR41" s="61">
        <v>43421</v>
      </c>
      <c r="CS41" s="61">
        <v>43445</v>
      </c>
      <c r="CT41" s="83">
        <v>19</v>
      </c>
      <c r="CU41" s="84"/>
      <c r="CV41" s="65"/>
      <c r="CW41" s="61"/>
      <c r="CX41" s="65"/>
      <c r="CY41" s="65"/>
      <c r="CZ41" s="65"/>
      <c r="DA41" s="61"/>
      <c r="DB41" s="65"/>
      <c r="DC41" s="61"/>
      <c r="DD41" s="65"/>
      <c r="DE41" s="61"/>
      <c r="DF41" s="65"/>
      <c r="DG41" s="61"/>
      <c r="DH41" s="61"/>
      <c r="DI41" s="71"/>
      <c r="DJ41" s="60"/>
      <c r="DK41" s="60"/>
      <c r="DL41" s="60"/>
      <c r="DM41" s="60"/>
      <c r="DN41" s="60"/>
      <c r="DO41" s="60"/>
      <c r="DP41" s="71"/>
      <c r="DQ41" s="71"/>
      <c r="DR41" s="71"/>
      <c r="DS41" s="71"/>
      <c r="DT41" s="71"/>
      <c r="DU41" s="71"/>
      <c r="DV41" s="71"/>
      <c r="DW41" s="71"/>
      <c r="DX41" s="71"/>
      <c r="DY41" s="71"/>
      <c r="DZ41" s="71"/>
      <c r="EA41" s="71"/>
      <c r="EB41" s="71"/>
      <c r="EC41" s="71"/>
      <c r="ED41" s="71"/>
      <c r="EE41" s="71"/>
      <c r="EF41" s="71"/>
      <c r="EG41" s="71"/>
      <c r="EH41" s="71"/>
      <c r="EI41" s="71"/>
    </row>
    <row r="42" spans="1:139" s="48" customFormat="1" ht="39.75" customHeight="1">
      <c r="A42" s="60">
        <v>82</v>
      </c>
      <c r="B42" s="61">
        <v>43416</v>
      </c>
      <c r="C42" s="62">
        <v>43416.828472222223</v>
      </c>
      <c r="D42" s="63">
        <v>41028181</v>
      </c>
      <c r="E42" s="60" t="s">
        <v>278</v>
      </c>
      <c r="F42" s="48" t="b">
        <v>0</v>
      </c>
      <c r="G42" s="48" t="s">
        <v>1597</v>
      </c>
      <c r="H42" s="60" t="s">
        <v>113</v>
      </c>
      <c r="I42" s="61">
        <v>27164</v>
      </c>
      <c r="J42" s="60">
        <v>44.526027397260272</v>
      </c>
      <c r="K42" s="85">
        <v>534.25378040762655</v>
      </c>
      <c r="L42" s="60" t="s">
        <v>114</v>
      </c>
      <c r="M42" s="187" t="s">
        <v>279</v>
      </c>
      <c r="N42" s="48">
        <v>176.2</v>
      </c>
      <c r="O42" s="48">
        <v>67.7</v>
      </c>
      <c r="P42" s="48">
        <f t="shared" si="1"/>
        <v>21.806042818435873</v>
      </c>
      <c r="Q42" s="191"/>
      <c r="V42" s="51"/>
      <c r="Y42" s="216"/>
      <c r="Z42" s="336"/>
      <c r="AA42" s="324"/>
      <c r="AB42" s="324"/>
      <c r="AC42" s="324"/>
      <c r="AD42" s="324"/>
      <c r="AE42" s="324"/>
      <c r="AF42" s="324"/>
      <c r="AG42" s="324"/>
      <c r="AH42" s="324"/>
      <c r="AI42" s="324"/>
      <c r="AJ42" s="324"/>
      <c r="AK42" s="324">
        <f t="shared" si="0"/>
        <v>0</v>
      </c>
      <c r="AL42" s="187"/>
      <c r="AM42" s="191"/>
      <c r="AN42" s="51"/>
      <c r="AO42" s="61"/>
      <c r="AP42" s="60"/>
      <c r="AQ42" s="191"/>
      <c r="AR42" s="51"/>
      <c r="AS42" s="51"/>
      <c r="AT42" s="324"/>
      <c r="AU42" s="51"/>
      <c r="AV42" s="51"/>
      <c r="AW42" s="51"/>
      <c r="AX42" s="51" t="s">
        <v>280</v>
      </c>
      <c r="AY42" s="71"/>
      <c r="AZ42" s="91"/>
      <c r="BB42" s="82"/>
      <c r="BC42" s="82"/>
      <c r="BD42" s="82"/>
      <c r="BE42" s="82"/>
      <c r="BF42" s="235"/>
      <c r="BG42" s="767"/>
      <c r="BH42" s="767"/>
      <c r="BI42" s="224"/>
      <c r="BJ42" s="71"/>
      <c r="BK42" s="71"/>
      <c r="BL42" s="71"/>
      <c r="BM42" s="71"/>
      <c r="BN42" s="71"/>
      <c r="BO42" s="71"/>
      <c r="BP42" s="71"/>
      <c r="BQ42" s="71"/>
      <c r="BR42" s="71"/>
      <c r="BS42" s="241"/>
      <c r="BT42" s="224"/>
      <c r="BU42" s="71"/>
      <c r="BV42" s="71"/>
      <c r="BW42" s="71"/>
      <c r="BX42" s="71"/>
      <c r="BY42" s="71"/>
      <c r="BZ42" s="71"/>
      <c r="CA42" s="71"/>
      <c r="CB42" s="71"/>
      <c r="CC42" s="71"/>
      <c r="CD42" s="71"/>
      <c r="CE42" s="71"/>
      <c r="CF42" s="71"/>
      <c r="CG42" s="71"/>
      <c r="CH42" s="71"/>
      <c r="CI42" s="71"/>
      <c r="CJ42" s="71"/>
      <c r="CK42" s="71"/>
      <c r="CL42" s="71"/>
      <c r="CM42" s="48">
        <v>135</v>
      </c>
      <c r="CN42" s="48">
        <v>109</v>
      </c>
      <c r="CP42" s="505">
        <v>29.8</v>
      </c>
      <c r="CQ42" s="505">
        <v>30.8</v>
      </c>
      <c r="CR42" s="61">
        <v>43410</v>
      </c>
      <c r="CS42" s="61">
        <v>43431</v>
      </c>
      <c r="CT42" s="83">
        <v>15</v>
      </c>
      <c r="CU42" s="84"/>
      <c r="CV42" s="65"/>
      <c r="CW42" s="61"/>
      <c r="CX42" s="65"/>
      <c r="CY42" s="65"/>
      <c r="CZ42" s="65"/>
      <c r="DA42" s="61"/>
      <c r="DB42" s="65"/>
      <c r="DC42" s="61"/>
      <c r="DD42" s="65"/>
      <c r="DE42" s="61"/>
      <c r="DF42" s="65"/>
      <c r="DG42" s="61"/>
      <c r="DH42" s="61"/>
      <c r="DI42" s="71"/>
      <c r="DJ42" s="60"/>
      <c r="DK42" s="60"/>
      <c r="DL42" s="60"/>
      <c r="DM42" s="60"/>
      <c r="DN42" s="60"/>
      <c r="DO42" s="60"/>
      <c r="DP42" s="71"/>
      <c r="DQ42" s="71"/>
      <c r="DR42" s="71"/>
      <c r="DS42" s="71"/>
      <c r="DT42" s="71"/>
      <c r="DU42" s="71"/>
      <c r="DV42" s="71"/>
      <c r="DW42" s="71"/>
      <c r="DX42" s="71"/>
      <c r="DY42" s="71"/>
      <c r="DZ42" s="71"/>
      <c r="EA42" s="71"/>
      <c r="EB42" s="71"/>
      <c r="EC42" s="71"/>
      <c r="ED42" s="71"/>
      <c r="EE42" s="71"/>
      <c r="EF42" s="71"/>
      <c r="EG42" s="71"/>
      <c r="EH42" s="71"/>
      <c r="EI42" s="71"/>
    </row>
    <row r="43" spans="1:139" s="47" customFormat="1" ht="39.75" customHeight="1">
      <c r="A43" s="50">
        <v>83</v>
      </c>
      <c r="B43" s="54">
        <v>43413</v>
      </c>
      <c r="C43" s="55">
        <v>43413.611111111109</v>
      </c>
      <c r="D43" s="56">
        <v>41029441</v>
      </c>
      <c r="E43" s="50" t="s">
        <v>281</v>
      </c>
      <c r="F43" s="47" t="b">
        <v>1</v>
      </c>
      <c r="H43" s="50" t="s">
        <v>113</v>
      </c>
      <c r="I43" s="54">
        <v>24903</v>
      </c>
      <c r="J43" s="50">
        <v>50.712328767123289</v>
      </c>
      <c r="K43" s="181">
        <v>608.48126232741618</v>
      </c>
      <c r="L43" s="50" t="s">
        <v>125</v>
      </c>
      <c r="M43" s="186" t="s">
        <v>282</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v>0</v>
      </c>
      <c r="AK43" s="323">
        <f t="shared" si="0"/>
        <v>0</v>
      </c>
      <c r="AL43" s="186"/>
      <c r="AM43" s="58">
        <v>43410</v>
      </c>
      <c r="AN43" s="52" t="s">
        <v>1598</v>
      </c>
      <c r="AO43" s="54">
        <v>43441</v>
      </c>
      <c r="AP43" s="50" t="s">
        <v>152</v>
      </c>
      <c r="AQ43" s="58">
        <v>43406</v>
      </c>
      <c r="AR43" s="52">
        <v>0</v>
      </c>
      <c r="AS43" s="52"/>
      <c r="AT43" s="323">
        <v>0</v>
      </c>
      <c r="AU43" s="52">
        <v>0</v>
      </c>
      <c r="AV43" s="52">
        <v>0</v>
      </c>
      <c r="AW43" s="52">
        <v>1</v>
      </c>
      <c r="AX43" s="52" t="s">
        <v>283</v>
      </c>
      <c r="AY43" s="70"/>
      <c r="AZ43" s="193" t="s">
        <v>1537</v>
      </c>
      <c r="BA43" s="47">
        <v>0</v>
      </c>
      <c r="BB43" s="69">
        <v>1</v>
      </c>
      <c r="BC43" s="69">
        <v>20</v>
      </c>
      <c r="BD43" s="69">
        <v>0</v>
      </c>
      <c r="BE43" s="69">
        <v>0</v>
      </c>
      <c r="BF43" s="234">
        <v>0</v>
      </c>
      <c r="BG43" s="766">
        <v>0</v>
      </c>
      <c r="BH43" s="766"/>
      <c r="BI43" s="223">
        <v>1</v>
      </c>
      <c r="BJ43" s="70"/>
      <c r="BK43" s="70">
        <v>1</v>
      </c>
      <c r="BL43" s="70" t="s">
        <v>1599</v>
      </c>
      <c r="BM43" s="70">
        <v>1</v>
      </c>
      <c r="BN43" s="70" t="s">
        <v>1600</v>
      </c>
      <c r="BO43" s="70">
        <v>1</v>
      </c>
      <c r="BP43" s="70">
        <v>0</v>
      </c>
      <c r="BQ43" s="70">
        <v>0</v>
      </c>
      <c r="BR43" s="70">
        <v>0</v>
      </c>
      <c r="BS43" s="242">
        <v>0</v>
      </c>
      <c r="BT43" s="223">
        <v>0</v>
      </c>
      <c r="BU43" s="70"/>
      <c r="BV43" s="70">
        <v>0</v>
      </c>
      <c r="BW43" s="70">
        <v>0</v>
      </c>
      <c r="BX43" s="70">
        <v>0</v>
      </c>
      <c r="BY43" s="70"/>
      <c r="BZ43" s="70"/>
      <c r="CA43" s="70"/>
      <c r="CB43" s="77">
        <v>0</v>
      </c>
      <c r="CC43" s="77">
        <v>0</v>
      </c>
      <c r="CD43" s="77">
        <v>0</v>
      </c>
      <c r="CE43" s="77"/>
      <c r="CF43" s="77"/>
      <c r="CG43" s="70"/>
      <c r="CH43" s="70">
        <v>0</v>
      </c>
      <c r="CI43" s="70"/>
      <c r="CJ43" s="70">
        <v>0</v>
      </c>
      <c r="CK43" s="70">
        <v>0</v>
      </c>
      <c r="CL43" s="70">
        <v>0</v>
      </c>
      <c r="CM43" s="47">
        <v>67</v>
      </c>
      <c r="CN43" s="47">
        <v>53</v>
      </c>
      <c r="CP43" s="504">
        <v>32</v>
      </c>
      <c r="CQ43" s="504">
        <v>33.1</v>
      </c>
      <c r="CR43" s="54">
        <v>43412</v>
      </c>
      <c r="CS43" s="54">
        <v>43425</v>
      </c>
      <c r="CT43" s="78">
        <v>12</v>
      </c>
      <c r="CU43" s="79">
        <v>43425</v>
      </c>
      <c r="CV43" s="59">
        <v>0</v>
      </c>
      <c r="CW43" s="54"/>
      <c r="CX43" s="59">
        <v>0</v>
      </c>
      <c r="CY43" s="59">
        <v>0</v>
      </c>
      <c r="CZ43" s="59">
        <v>0</v>
      </c>
      <c r="DA43" s="54"/>
      <c r="DB43" s="59">
        <v>0</v>
      </c>
      <c r="DC43" s="54"/>
      <c r="DD43" s="59">
        <v>0</v>
      </c>
      <c r="DE43" s="54"/>
      <c r="DF43" s="59">
        <v>0</v>
      </c>
      <c r="DG43" s="54"/>
      <c r="DH43" s="66"/>
      <c r="DI43" s="70"/>
      <c r="DJ43" s="50"/>
      <c r="DK43" s="50"/>
      <c r="DL43" s="50"/>
      <c r="DM43" s="50"/>
      <c r="DN43" s="50"/>
      <c r="DO43" s="50"/>
      <c r="DP43" s="70"/>
      <c r="DQ43" s="70"/>
      <c r="DR43" s="70"/>
      <c r="DS43" s="70"/>
      <c r="DT43" s="70"/>
      <c r="DU43" s="70"/>
      <c r="DV43" s="70"/>
      <c r="DW43" s="70"/>
      <c r="DX43" s="70"/>
      <c r="DY43" s="70"/>
      <c r="DZ43" s="70"/>
      <c r="EA43" s="70"/>
      <c r="EB43" s="70"/>
      <c r="EC43" s="70"/>
      <c r="ED43" s="70"/>
      <c r="EE43" s="70"/>
      <c r="EF43" s="70"/>
      <c r="EG43" s="70"/>
      <c r="EH43" s="70"/>
      <c r="EI43" s="70"/>
    </row>
    <row r="44" spans="1:139" s="48" customFormat="1" ht="39.75" customHeight="1">
      <c r="A44" s="60">
        <v>84</v>
      </c>
      <c r="B44" s="61">
        <v>43405</v>
      </c>
      <c r="C44" s="62">
        <v>43405.570138888892</v>
      </c>
      <c r="D44" s="63" t="s">
        <v>284</v>
      </c>
      <c r="E44" s="60" t="s">
        <v>285</v>
      </c>
      <c r="F44" s="48" t="b">
        <v>0</v>
      </c>
      <c r="G44" s="48" t="s">
        <v>1558</v>
      </c>
      <c r="H44" s="60" t="s">
        <v>113</v>
      </c>
      <c r="I44" s="61">
        <v>18055</v>
      </c>
      <c r="J44" s="60">
        <v>69.452054794520549</v>
      </c>
      <c r="K44" s="85">
        <v>833.33333333333326</v>
      </c>
      <c r="L44" s="60" t="s">
        <v>216</v>
      </c>
      <c r="M44" s="187" t="s">
        <v>286</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c r="AK44" s="324">
        <f t="shared" si="0"/>
        <v>1</v>
      </c>
      <c r="AL44" s="187"/>
      <c r="AM44" s="191"/>
      <c r="AN44" s="51"/>
      <c r="AO44" s="61"/>
      <c r="AP44" s="60"/>
      <c r="AQ44" s="191"/>
      <c r="AR44" s="51"/>
      <c r="AS44" s="51"/>
      <c r="AT44" s="324"/>
      <c r="AU44" s="51"/>
      <c r="AV44" s="51"/>
      <c r="AW44" s="51"/>
      <c r="AX44" s="51" t="s">
        <v>287</v>
      </c>
      <c r="AY44" s="71">
        <v>1</v>
      </c>
      <c r="AZ44" s="91">
        <v>1</v>
      </c>
      <c r="BB44" s="82"/>
      <c r="BC44" s="82"/>
      <c r="BD44" s="82"/>
      <c r="BE44" s="82"/>
      <c r="BF44" s="235"/>
      <c r="BG44" s="767"/>
      <c r="BH44" s="767"/>
      <c r="BI44" s="224"/>
      <c r="BJ44" s="71"/>
      <c r="BK44" s="71"/>
      <c r="BL44" s="71"/>
      <c r="BM44" s="71"/>
      <c r="BN44" s="71"/>
      <c r="BO44" s="71"/>
      <c r="BP44" s="71"/>
      <c r="BQ44" s="71"/>
      <c r="BR44" s="71"/>
      <c r="BS44" s="241"/>
      <c r="BT44" s="224" t="s">
        <v>174</v>
      </c>
      <c r="BU44" s="71"/>
      <c r="BV44" s="71"/>
      <c r="BW44" s="71"/>
      <c r="BX44" s="71"/>
      <c r="BY44" s="71"/>
      <c r="BZ44" s="71"/>
      <c r="CA44" s="71"/>
      <c r="CB44" s="71"/>
      <c r="CC44" s="71"/>
      <c r="CD44" s="71"/>
      <c r="CE44" s="71"/>
      <c r="CF44" s="71"/>
      <c r="CG44" s="71"/>
      <c r="CH44" s="71"/>
      <c r="CI44" s="71"/>
      <c r="CJ44" s="71"/>
      <c r="CK44" s="71"/>
      <c r="CL44" s="71"/>
      <c r="CM44" s="48">
        <v>93</v>
      </c>
      <c r="CN44" s="48">
        <v>73</v>
      </c>
      <c r="CP44" s="505">
        <v>30.6</v>
      </c>
      <c r="CQ44" s="505">
        <v>32.4</v>
      </c>
      <c r="CR44" s="61">
        <v>43402</v>
      </c>
      <c r="CS44" s="61">
        <v>43412</v>
      </c>
      <c r="CT44" s="83">
        <v>7</v>
      </c>
      <c r="CU44" s="84"/>
      <c r="CV44" s="65"/>
      <c r="CW44" s="61"/>
      <c r="CX44" s="65"/>
      <c r="CY44" s="65"/>
      <c r="CZ44" s="65"/>
      <c r="DA44" s="61"/>
      <c r="DB44" s="65"/>
      <c r="DC44" s="61"/>
      <c r="DD44" s="65"/>
      <c r="DE44" s="61"/>
      <c r="DF44" s="65"/>
      <c r="DG44" s="61"/>
      <c r="DH44" s="61"/>
      <c r="DI44" s="71"/>
      <c r="DJ44" s="60"/>
      <c r="DK44" s="60"/>
      <c r="DL44" s="60"/>
      <c r="DM44" s="60"/>
      <c r="DN44" s="60"/>
      <c r="DO44" s="60"/>
      <c r="DP44" s="71"/>
      <c r="DQ44" s="71"/>
      <c r="DR44" s="71"/>
      <c r="DS44" s="71"/>
      <c r="DT44" s="71"/>
      <c r="DU44" s="71"/>
      <c r="DV44" s="71"/>
      <c r="DW44" s="71"/>
      <c r="DX44" s="71"/>
      <c r="DY44" s="71"/>
      <c r="DZ44" s="71"/>
      <c r="EA44" s="71"/>
      <c r="EB44" s="71"/>
      <c r="EC44" s="71"/>
      <c r="ED44" s="71"/>
      <c r="EE44" s="71"/>
      <c r="EF44" s="71"/>
      <c r="EG44" s="71"/>
      <c r="EH44" s="71"/>
      <c r="EI44" s="71"/>
    </row>
    <row r="45" spans="1:139" s="196" customFormat="1" ht="39.75" customHeight="1">
      <c r="A45" s="90">
        <v>86</v>
      </c>
      <c r="B45" s="88">
        <v>43397</v>
      </c>
      <c r="C45" s="194">
        <v>43397.59375</v>
      </c>
      <c r="D45" s="195">
        <v>40925340</v>
      </c>
      <c r="E45" s="90" t="s">
        <v>288</v>
      </c>
      <c r="F45" s="196" t="s">
        <v>1601</v>
      </c>
      <c r="G45" s="196" t="s">
        <v>1602</v>
      </c>
      <c r="H45" s="90" t="s">
        <v>113</v>
      </c>
      <c r="I45" s="88">
        <v>18747</v>
      </c>
      <c r="J45" s="90">
        <v>67.534246575342465</v>
      </c>
      <c r="K45" s="197">
        <v>810.32215647600253</v>
      </c>
      <c r="L45" s="90" t="s">
        <v>121</v>
      </c>
      <c r="M45" s="198" t="s">
        <v>289</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c r="AK45" s="326">
        <f t="shared" si="0"/>
        <v>0</v>
      </c>
      <c r="AL45" s="198"/>
      <c r="AM45" s="199"/>
      <c r="AN45" s="200"/>
      <c r="AO45" s="88"/>
      <c r="AP45" s="90"/>
      <c r="AQ45" s="199"/>
      <c r="AR45" s="200"/>
      <c r="AS45" s="200"/>
      <c r="AT45" s="326"/>
      <c r="AU45" s="200"/>
      <c r="AV45" s="200"/>
      <c r="AW45" s="200"/>
      <c r="AX45" s="200" t="s">
        <v>290</v>
      </c>
      <c r="AY45" s="201"/>
      <c r="AZ45" s="202"/>
      <c r="BB45" s="203"/>
      <c r="BC45" s="203"/>
      <c r="BD45" s="203"/>
      <c r="BE45" s="203"/>
      <c r="BF45" s="236"/>
      <c r="BG45" s="768"/>
      <c r="BH45" s="768"/>
      <c r="BI45" s="226">
        <v>1</v>
      </c>
      <c r="BJ45" s="201"/>
      <c r="BK45" s="201"/>
      <c r="BL45" s="201"/>
      <c r="BM45" s="201"/>
      <c r="BN45" s="201"/>
      <c r="BO45" s="201"/>
      <c r="BP45" s="201"/>
      <c r="BQ45" s="201"/>
      <c r="BR45" s="201"/>
      <c r="BS45" s="244" t="s">
        <v>148</v>
      </c>
      <c r="BT45" s="226"/>
      <c r="BU45" s="201"/>
      <c r="BV45" s="201"/>
      <c r="BW45" s="201"/>
      <c r="BX45" s="201"/>
      <c r="BY45" s="201"/>
      <c r="BZ45" s="201"/>
      <c r="CA45" s="201" t="e">
        <v>#REF!</v>
      </c>
      <c r="CB45" s="204"/>
      <c r="CC45" s="204"/>
      <c r="CD45" s="204"/>
      <c r="CE45" s="204"/>
      <c r="CF45" s="204"/>
      <c r="CG45" s="201"/>
      <c r="CH45" s="201"/>
      <c r="CI45" s="201"/>
      <c r="CJ45" s="201"/>
      <c r="CK45" s="201"/>
      <c r="CL45" s="201"/>
      <c r="CM45" s="196">
        <v>127</v>
      </c>
      <c r="CN45" s="196">
        <v>90</v>
      </c>
      <c r="CP45" s="506">
        <v>30.3</v>
      </c>
      <c r="CQ45" s="506">
        <v>32.799999999999997</v>
      </c>
      <c r="CR45" s="88">
        <v>43396</v>
      </c>
      <c r="CS45" s="88">
        <v>43421</v>
      </c>
      <c r="CT45" s="205">
        <v>24</v>
      </c>
      <c r="CU45" s="206"/>
      <c r="CV45" s="89"/>
      <c r="CW45" s="88"/>
      <c r="CX45" s="89"/>
      <c r="CY45" s="89"/>
      <c r="CZ45" s="89"/>
      <c r="DA45" s="88"/>
      <c r="DB45" s="89"/>
      <c r="DC45" s="88"/>
      <c r="DD45" s="89"/>
      <c r="DE45" s="88"/>
      <c r="DF45" s="89"/>
      <c r="DG45" s="88"/>
      <c r="DH45" s="211" t="s">
        <v>291</v>
      </c>
      <c r="DI45" s="201"/>
      <c r="DJ45" s="90"/>
      <c r="DK45" s="90"/>
      <c r="DL45" s="90"/>
      <c r="DM45" s="90"/>
      <c r="DN45" s="90"/>
      <c r="DO45" s="90"/>
      <c r="DP45" s="201"/>
      <c r="DQ45" s="201"/>
      <c r="DR45" s="201"/>
      <c r="DS45" s="201"/>
      <c r="DT45" s="201"/>
      <c r="DU45" s="201"/>
      <c r="DV45" s="201"/>
      <c r="DW45" s="201"/>
      <c r="DX45" s="201"/>
      <c r="DY45" s="201"/>
      <c r="DZ45" s="201"/>
      <c r="EA45" s="201"/>
      <c r="EB45" s="201"/>
      <c r="EC45" s="201"/>
      <c r="ED45" s="201"/>
      <c r="EE45" s="201"/>
      <c r="EF45" s="201"/>
      <c r="EG45" s="201"/>
      <c r="EH45" s="201"/>
      <c r="EI45" s="201"/>
    </row>
    <row r="46" spans="1:139" s="47" customFormat="1" ht="39.75" customHeight="1">
      <c r="A46" s="50">
        <v>87</v>
      </c>
      <c r="B46" s="54">
        <v>43397</v>
      </c>
      <c r="C46" s="55">
        <v>43397.794444444444</v>
      </c>
      <c r="D46" s="56" t="s">
        <v>292</v>
      </c>
      <c r="E46" s="50" t="s">
        <v>293</v>
      </c>
      <c r="F46" s="47" t="b">
        <v>1</v>
      </c>
      <c r="H46" s="50" t="s">
        <v>113</v>
      </c>
      <c r="I46" s="54">
        <v>16688</v>
      </c>
      <c r="J46" s="50">
        <v>73.175342465753431</v>
      </c>
      <c r="K46" s="181">
        <v>878.00788954635107</v>
      </c>
      <c r="L46" s="50" t="s">
        <v>121</v>
      </c>
      <c r="M46" s="186" t="s">
        <v>294</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v>0</v>
      </c>
      <c r="AK46" s="323">
        <f t="shared" si="0"/>
        <v>0</v>
      </c>
      <c r="AL46" s="186"/>
      <c r="AM46" s="58">
        <v>43386</v>
      </c>
      <c r="AN46" s="52" t="s">
        <v>1603</v>
      </c>
      <c r="AO46" s="54">
        <v>43431</v>
      </c>
      <c r="AP46" s="50" t="s">
        <v>1604</v>
      </c>
      <c r="AQ46" s="58">
        <v>43385</v>
      </c>
      <c r="AR46" s="52">
        <v>1</v>
      </c>
      <c r="AS46" s="52" t="s">
        <v>1605</v>
      </c>
      <c r="AT46" s="323">
        <v>0</v>
      </c>
      <c r="AU46" s="52">
        <v>0</v>
      </c>
      <c r="AV46" s="52">
        <v>0</v>
      </c>
      <c r="AW46" s="52">
        <v>1</v>
      </c>
      <c r="AX46" s="50" t="s">
        <v>295</v>
      </c>
      <c r="AY46" s="70"/>
      <c r="AZ46" s="193" t="s">
        <v>1596</v>
      </c>
      <c r="BA46" s="47">
        <v>0</v>
      </c>
      <c r="BB46" s="69">
        <v>1</v>
      </c>
      <c r="BC46" s="69"/>
      <c r="BD46" s="69">
        <v>0</v>
      </c>
      <c r="BE46" s="69">
        <v>0</v>
      </c>
      <c r="BF46" s="234">
        <v>0</v>
      </c>
      <c r="BG46" s="766">
        <v>0</v>
      </c>
      <c r="BH46" s="766"/>
      <c r="BI46" s="223">
        <v>0</v>
      </c>
      <c r="BJ46" s="70"/>
      <c r="BK46" s="70">
        <v>0</v>
      </c>
      <c r="BL46" s="70"/>
      <c r="BM46" s="70">
        <v>0</v>
      </c>
      <c r="BN46" s="70"/>
      <c r="BO46" s="70">
        <v>0</v>
      </c>
      <c r="BP46" s="70">
        <v>0</v>
      </c>
      <c r="BQ46" s="70">
        <v>0</v>
      </c>
      <c r="BR46" s="70">
        <v>0</v>
      </c>
      <c r="BS46" s="240">
        <v>0</v>
      </c>
      <c r="BT46" s="223">
        <v>1</v>
      </c>
      <c r="BU46" s="70" t="s">
        <v>1606</v>
      </c>
      <c r="BV46" s="70">
        <v>0</v>
      </c>
      <c r="BW46" s="70">
        <v>0</v>
      </c>
      <c r="BX46" s="70">
        <v>0</v>
      </c>
      <c r="BY46" s="70"/>
      <c r="BZ46" s="70"/>
      <c r="CA46" s="70"/>
      <c r="CB46" s="70">
        <v>0</v>
      </c>
      <c r="CC46" s="70">
        <v>0</v>
      </c>
      <c r="CD46" s="70">
        <v>0</v>
      </c>
      <c r="CE46" s="70"/>
      <c r="CF46" s="70"/>
      <c r="CG46" s="70"/>
      <c r="CH46" s="70">
        <v>0</v>
      </c>
      <c r="CI46" s="70"/>
      <c r="CJ46" s="70">
        <v>0</v>
      </c>
      <c r="CK46" s="70">
        <v>0</v>
      </c>
      <c r="CL46" s="70">
        <v>0</v>
      </c>
      <c r="CM46" s="47">
        <v>99</v>
      </c>
      <c r="CN46" s="47">
        <v>85</v>
      </c>
      <c r="CP46" s="504">
        <v>30.8</v>
      </c>
      <c r="CQ46" s="504">
        <v>32.6</v>
      </c>
      <c r="CR46" s="54">
        <v>43396</v>
      </c>
      <c r="CS46" s="54">
        <v>43420</v>
      </c>
      <c r="CT46" s="78">
        <v>23</v>
      </c>
      <c r="CU46" s="79">
        <v>43437</v>
      </c>
      <c r="CV46" s="59">
        <v>0</v>
      </c>
      <c r="CW46" s="54"/>
      <c r="CX46" s="59">
        <v>0</v>
      </c>
      <c r="CY46" s="59">
        <v>0</v>
      </c>
      <c r="CZ46" s="59">
        <v>0</v>
      </c>
      <c r="DA46" s="54"/>
      <c r="DB46" s="59">
        <v>0</v>
      </c>
      <c r="DC46" s="54"/>
      <c r="DD46" s="59">
        <v>0</v>
      </c>
      <c r="DE46" s="54"/>
      <c r="DF46" s="59">
        <v>0</v>
      </c>
      <c r="DG46" s="54"/>
      <c r="DH46" s="54"/>
      <c r="DI46" s="70"/>
      <c r="DJ46" s="50"/>
      <c r="DK46" s="50"/>
      <c r="DL46" s="50"/>
      <c r="DM46" s="50"/>
      <c r="DN46" s="50"/>
      <c r="DO46" s="50"/>
      <c r="DP46" s="70"/>
      <c r="DQ46" s="70"/>
      <c r="DR46" s="70"/>
      <c r="DS46" s="70"/>
      <c r="DT46" s="70"/>
      <c r="DU46" s="70"/>
      <c r="DV46" s="70"/>
      <c r="DW46" s="70"/>
      <c r="DX46" s="70"/>
      <c r="DY46" s="70"/>
      <c r="DZ46" s="70"/>
      <c r="EA46" s="70"/>
      <c r="EB46" s="70"/>
      <c r="EC46" s="70"/>
      <c r="ED46" s="70"/>
      <c r="EE46" s="70"/>
      <c r="EF46" s="70"/>
      <c r="EG46" s="70"/>
      <c r="EH46" s="70"/>
      <c r="EI46" s="70"/>
    </row>
    <row r="47" spans="1:139" s="47" customFormat="1" ht="39.75" customHeight="1">
      <c r="A47" s="50">
        <v>88</v>
      </c>
      <c r="B47" s="54">
        <v>43396</v>
      </c>
      <c r="C47" s="55">
        <v>43396.333333333336</v>
      </c>
      <c r="D47" s="56">
        <v>40857375</v>
      </c>
      <c r="E47" s="50" t="s">
        <v>296</v>
      </c>
      <c r="F47" s="47" t="b">
        <v>1</v>
      </c>
      <c r="H47" s="50" t="s">
        <v>113</v>
      </c>
      <c r="I47" s="54">
        <v>29584</v>
      </c>
      <c r="J47" s="50">
        <v>37.841095890410962</v>
      </c>
      <c r="K47" s="181">
        <v>454.04339250493092</v>
      </c>
      <c r="L47" s="50" t="s">
        <v>114</v>
      </c>
      <c r="M47" s="186" t="s">
        <v>297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v>0</v>
      </c>
      <c r="AK47" s="323">
        <f t="shared" si="0"/>
        <v>1</v>
      </c>
      <c r="AL47" s="186"/>
      <c r="AM47" s="58">
        <v>43380</v>
      </c>
      <c r="AN47" s="52" t="s">
        <v>1607</v>
      </c>
      <c r="AO47" s="54">
        <v>43411</v>
      </c>
      <c r="AP47" s="50" t="s">
        <v>223</v>
      </c>
      <c r="AQ47" s="58"/>
      <c r="AR47" s="52">
        <v>0</v>
      </c>
      <c r="AS47" s="52"/>
      <c r="AT47" s="323">
        <v>0</v>
      </c>
      <c r="AU47" s="52">
        <v>1</v>
      </c>
      <c r="AV47" s="52">
        <v>0</v>
      </c>
      <c r="AW47" s="52">
        <v>0</v>
      </c>
      <c r="AX47" s="52" t="s">
        <v>298</v>
      </c>
      <c r="AY47" s="70"/>
      <c r="AZ47" s="193" t="s">
        <v>1596</v>
      </c>
      <c r="BA47" s="47">
        <v>0</v>
      </c>
      <c r="BB47" s="69">
        <v>1</v>
      </c>
      <c r="BC47" s="69"/>
      <c r="BD47" s="69">
        <v>0</v>
      </c>
      <c r="BE47" s="69">
        <v>0</v>
      </c>
      <c r="BF47" s="234">
        <v>1</v>
      </c>
      <c r="BG47" s="766">
        <v>0</v>
      </c>
      <c r="BH47" s="766"/>
      <c r="BI47" s="223">
        <v>1</v>
      </c>
      <c r="BJ47" s="70"/>
      <c r="BK47" s="70">
        <v>0</v>
      </c>
      <c r="BL47" s="70"/>
      <c r="BM47" s="70">
        <v>1</v>
      </c>
      <c r="BN47" s="70" t="s">
        <v>1608</v>
      </c>
      <c r="BO47" s="70">
        <v>0</v>
      </c>
      <c r="BP47" s="70">
        <v>1</v>
      </c>
      <c r="BQ47" s="70">
        <v>0</v>
      </c>
      <c r="BR47" s="70">
        <v>0</v>
      </c>
      <c r="BS47" s="240">
        <v>0</v>
      </c>
      <c r="BT47" s="223">
        <v>0</v>
      </c>
      <c r="BU47" s="70"/>
      <c r="BV47" s="70">
        <v>0</v>
      </c>
      <c r="BW47" s="70">
        <v>0</v>
      </c>
      <c r="BX47" s="70">
        <v>0</v>
      </c>
      <c r="BY47" s="70"/>
      <c r="BZ47" s="70"/>
      <c r="CA47" s="70"/>
      <c r="CB47" s="77">
        <v>0</v>
      </c>
      <c r="CC47" s="77">
        <v>0</v>
      </c>
      <c r="CD47" s="77">
        <v>0</v>
      </c>
      <c r="CE47" s="77"/>
      <c r="CF47" s="77"/>
      <c r="CG47" s="70"/>
      <c r="CH47" s="70">
        <v>0</v>
      </c>
      <c r="CI47" s="70"/>
      <c r="CJ47" s="70">
        <v>0</v>
      </c>
      <c r="CK47" s="70">
        <v>0</v>
      </c>
      <c r="CL47" s="70">
        <v>0</v>
      </c>
      <c r="CM47" s="47">
        <v>150</v>
      </c>
      <c r="CN47" s="47">
        <v>52</v>
      </c>
      <c r="CP47" s="504">
        <v>30.5</v>
      </c>
      <c r="CQ47" s="504">
        <v>32.700000000000003</v>
      </c>
      <c r="CR47" s="54">
        <v>43381</v>
      </c>
      <c r="CS47" s="54">
        <v>43411</v>
      </c>
      <c r="CT47" s="78">
        <v>15</v>
      </c>
      <c r="CU47" s="79">
        <v>44229</v>
      </c>
      <c r="CV47" s="59">
        <v>0</v>
      </c>
      <c r="CW47" s="54"/>
      <c r="CX47" s="59">
        <v>0</v>
      </c>
      <c r="CY47" s="59">
        <v>0</v>
      </c>
      <c r="CZ47" s="59">
        <v>0</v>
      </c>
      <c r="DA47" s="54"/>
      <c r="DB47" s="59">
        <v>0</v>
      </c>
      <c r="DC47" s="54"/>
      <c r="DD47" s="59">
        <v>0</v>
      </c>
      <c r="DE47" s="54"/>
      <c r="DF47" s="59">
        <v>0</v>
      </c>
      <c r="DG47" s="54"/>
      <c r="DH47" s="66" t="s">
        <v>299</v>
      </c>
      <c r="DI47" s="70"/>
      <c r="DJ47" s="50"/>
      <c r="DK47" s="50"/>
      <c r="DL47" s="50"/>
      <c r="DM47" s="50"/>
      <c r="DN47" s="50"/>
      <c r="DO47" s="50"/>
      <c r="DP47" s="70"/>
      <c r="DQ47" s="70"/>
      <c r="DR47" s="70"/>
      <c r="DS47" s="70"/>
      <c r="DT47" s="70"/>
      <c r="DU47" s="70"/>
      <c r="DV47" s="70"/>
      <c r="DW47" s="70"/>
      <c r="DX47" s="70"/>
      <c r="DY47" s="70"/>
      <c r="DZ47" s="70"/>
      <c r="EA47" s="70"/>
      <c r="EB47" s="70"/>
      <c r="EC47" s="70"/>
      <c r="ED47" s="70"/>
      <c r="EE47" s="70"/>
      <c r="EF47" s="70"/>
      <c r="EG47" s="70"/>
      <c r="EH47" s="70"/>
      <c r="EI47" s="70"/>
    </row>
    <row r="48" spans="1:139" s="48" customFormat="1" ht="39.75" customHeight="1">
      <c r="A48" s="60">
        <v>89</v>
      </c>
      <c r="B48" s="61">
        <v>43388</v>
      </c>
      <c r="C48" s="62">
        <v>43388.3125</v>
      </c>
      <c r="D48" s="63">
        <v>40681495</v>
      </c>
      <c r="E48" s="60" t="s">
        <v>300</v>
      </c>
      <c r="F48" s="48" t="b">
        <v>0</v>
      </c>
      <c r="G48" s="48" t="s">
        <v>1609</v>
      </c>
      <c r="H48" s="60" t="s">
        <v>113</v>
      </c>
      <c r="I48" s="61">
        <v>24444</v>
      </c>
      <c r="J48" s="60">
        <v>51.901369863013699</v>
      </c>
      <c r="K48" s="85">
        <v>622.74819197896113</v>
      </c>
      <c r="L48" s="60" t="s">
        <v>121</v>
      </c>
      <c r="M48" s="187" t="s">
        <v>301</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c r="AK48" s="324">
        <f t="shared" si="0"/>
        <v>0</v>
      </c>
      <c r="AL48" s="187"/>
      <c r="AM48" s="191"/>
      <c r="AN48" s="51"/>
      <c r="AO48" s="61"/>
      <c r="AP48" s="60"/>
      <c r="AQ48" s="191"/>
      <c r="AR48" s="51"/>
      <c r="AS48" s="51"/>
      <c r="AT48" s="324"/>
      <c r="AU48" s="51"/>
      <c r="AV48" s="51"/>
      <c r="AW48" s="51"/>
      <c r="AX48" s="60" t="s">
        <v>302</v>
      </c>
      <c r="AY48" s="71"/>
      <c r="AZ48" s="91"/>
      <c r="BB48" s="82"/>
      <c r="BC48" s="82"/>
      <c r="BD48" s="82"/>
      <c r="BE48" s="82"/>
      <c r="BF48" s="235"/>
      <c r="BG48" s="767"/>
      <c r="BH48" s="767"/>
      <c r="BI48" s="224"/>
      <c r="BJ48" s="71"/>
      <c r="BK48" s="71"/>
      <c r="BL48" s="71"/>
      <c r="BM48" s="71"/>
      <c r="BN48" s="71"/>
      <c r="BO48" s="71"/>
      <c r="BP48" s="71"/>
      <c r="BQ48" s="71"/>
      <c r="BR48" s="71"/>
      <c r="BS48" s="241"/>
      <c r="BT48" s="224" t="s">
        <v>213</v>
      </c>
      <c r="BU48" s="71"/>
      <c r="BV48" s="71"/>
      <c r="BW48" s="71"/>
      <c r="BX48" s="71"/>
      <c r="BY48" s="71"/>
      <c r="BZ48" s="71"/>
      <c r="CA48" s="71"/>
      <c r="CB48" s="71"/>
      <c r="CC48" s="71"/>
      <c r="CD48" s="71"/>
      <c r="CE48" s="71"/>
      <c r="CF48" s="71"/>
      <c r="CG48" s="71"/>
      <c r="CH48" s="71"/>
      <c r="CI48" s="71"/>
      <c r="CJ48" s="71"/>
      <c r="CK48" s="71"/>
      <c r="CL48" s="71"/>
      <c r="CM48" s="48">
        <v>129</v>
      </c>
      <c r="CN48" s="48">
        <v>114</v>
      </c>
      <c r="CP48" s="505">
        <v>29.6</v>
      </c>
      <c r="CQ48" s="505">
        <v>31.6</v>
      </c>
      <c r="CR48" s="61">
        <v>43383</v>
      </c>
      <c r="CS48" s="61">
        <v>43396</v>
      </c>
      <c r="CT48" s="83">
        <v>8</v>
      </c>
      <c r="CU48" s="84"/>
      <c r="CV48" s="65"/>
      <c r="CW48" s="61"/>
      <c r="CX48" s="65"/>
      <c r="CY48" s="65"/>
      <c r="CZ48" s="65"/>
      <c r="DA48" s="61"/>
      <c r="DB48" s="65"/>
      <c r="DC48" s="61"/>
      <c r="DD48" s="65"/>
      <c r="DE48" s="61"/>
      <c r="DF48" s="65"/>
      <c r="DG48" s="61"/>
      <c r="DH48" s="61"/>
      <c r="DI48" s="71"/>
      <c r="DJ48" s="60"/>
      <c r="DK48" s="60"/>
      <c r="DL48" s="60"/>
      <c r="DM48" s="60"/>
      <c r="DN48" s="60"/>
      <c r="DO48" s="60"/>
      <c r="DP48" s="71"/>
      <c r="DQ48" s="71"/>
      <c r="DR48" s="71"/>
      <c r="DS48" s="71"/>
      <c r="DT48" s="71"/>
      <c r="DU48" s="71"/>
      <c r="DV48" s="71"/>
      <c r="DW48" s="71"/>
      <c r="DX48" s="71"/>
      <c r="DY48" s="71"/>
      <c r="DZ48" s="71"/>
      <c r="EA48" s="71"/>
      <c r="EB48" s="71"/>
      <c r="EC48" s="71"/>
      <c r="ED48" s="71"/>
      <c r="EE48" s="71"/>
      <c r="EF48" s="71"/>
      <c r="EG48" s="71"/>
      <c r="EH48" s="71"/>
      <c r="EI48" s="71"/>
    </row>
    <row r="49" spans="1:139" s="47" customFormat="1" ht="39.75" customHeight="1">
      <c r="A49" s="50">
        <v>90</v>
      </c>
      <c r="B49" s="54">
        <v>43372</v>
      </c>
      <c r="C49" s="55">
        <v>43372.40347222222</v>
      </c>
      <c r="D49" s="56">
        <v>40807549</v>
      </c>
      <c r="E49" s="50" t="s">
        <v>303</v>
      </c>
      <c r="F49" s="47" t="b">
        <v>1</v>
      </c>
      <c r="H49" s="50" t="s">
        <v>129</v>
      </c>
      <c r="I49" s="54">
        <v>17662</v>
      </c>
      <c r="J49" s="50">
        <v>70.438356164383563</v>
      </c>
      <c r="K49" s="181">
        <v>845.16765285996053</v>
      </c>
      <c r="L49" s="50" t="s">
        <v>114</v>
      </c>
      <c r="M49" s="186" t="s">
        <v>304</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v>0</v>
      </c>
      <c r="AK49" s="323">
        <f t="shared" si="0"/>
        <v>0</v>
      </c>
      <c r="AL49" s="186"/>
      <c r="AM49" s="58">
        <v>43350</v>
      </c>
      <c r="AN49" s="52" t="s">
        <v>1610</v>
      </c>
      <c r="AO49" s="54">
        <v>43414</v>
      </c>
      <c r="AP49" s="50" t="s">
        <v>1611</v>
      </c>
      <c r="AQ49" s="58">
        <v>43348</v>
      </c>
      <c r="AR49" s="52">
        <v>0</v>
      </c>
      <c r="AS49" s="52"/>
      <c r="AT49" s="323">
        <v>0</v>
      </c>
      <c r="AU49" s="52">
        <v>0</v>
      </c>
      <c r="AV49" s="52">
        <v>0</v>
      </c>
      <c r="AW49" s="52">
        <v>1</v>
      </c>
      <c r="AX49" s="52" t="s">
        <v>305</v>
      </c>
      <c r="AY49" s="70"/>
      <c r="AZ49" s="193" t="s">
        <v>1494</v>
      </c>
      <c r="BA49" s="47">
        <v>0</v>
      </c>
      <c r="BB49" s="69">
        <v>1</v>
      </c>
      <c r="BC49" s="69">
        <v>40</v>
      </c>
      <c r="BD49" s="69">
        <v>1</v>
      </c>
      <c r="BE49" s="69">
        <v>0</v>
      </c>
      <c r="BF49" s="234">
        <v>0</v>
      </c>
      <c r="BG49" s="766">
        <v>1</v>
      </c>
      <c r="BH49" s="766" t="s">
        <v>2004</v>
      </c>
      <c r="BI49" s="223">
        <v>0</v>
      </c>
      <c r="BJ49" s="70"/>
      <c r="BK49" s="70">
        <v>0</v>
      </c>
      <c r="BL49" s="70"/>
      <c r="BM49" s="70">
        <v>0</v>
      </c>
      <c r="BN49" s="70"/>
      <c r="BO49" s="70">
        <v>0</v>
      </c>
      <c r="BP49" s="70">
        <v>0</v>
      </c>
      <c r="BQ49" s="70">
        <v>0</v>
      </c>
      <c r="BR49" s="70">
        <v>0</v>
      </c>
      <c r="BS49" s="240">
        <v>0</v>
      </c>
      <c r="BT49" s="223">
        <v>1</v>
      </c>
      <c r="BU49" s="70" t="s">
        <v>1612</v>
      </c>
      <c r="BV49" s="70">
        <v>0</v>
      </c>
      <c r="BW49" s="70">
        <v>0</v>
      </c>
      <c r="BX49" s="70">
        <v>0</v>
      </c>
      <c r="BY49" s="70"/>
      <c r="BZ49" s="70"/>
      <c r="CA49" s="70"/>
      <c r="CB49" s="70">
        <v>0</v>
      </c>
      <c r="CC49" s="70">
        <v>0</v>
      </c>
      <c r="CD49" s="70">
        <v>0</v>
      </c>
      <c r="CE49" s="70"/>
      <c r="CF49" s="70"/>
      <c r="CG49" s="70"/>
      <c r="CH49" s="70">
        <v>0</v>
      </c>
      <c r="CI49" s="70"/>
      <c r="CJ49" s="70">
        <v>0</v>
      </c>
      <c r="CK49" s="70">
        <v>0</v>
      </c>
      <c r="CL49" s="70">
        <v>0</v>
      </c>
      <c r="CM49" s="47">
        <v>104</v>
      </c>
      <c r="CN49" s="47">
        <v>65</v>
      </c>
      <c r="CP49" s="504">
        <v>28.5</v>
      </c>
      <c r="CQ49" s="504">
        <v>32</v>
      </c>
      <c r="CR49" s="54">
        <v>43372</v>
      </c>
      <c r="CS49" s="54">
        <v>43390</v>
      </c>
      <c r="CT49" s="78">
        <v>18</v>
      </c>
      <c r="CU49" s="79">
        <v>43390</v>
      </c>
      <c r="CV49" s="59">
        <v>0</v>
      </c>
      <c r="CW49" s="54"/>
      <c r="CX49" s="59">
        <v>0</v>
      </c>
      <c r="CY49" s="59">
        <v>0</v>
      </c>
      <c r="CZ49" s="59">
        <v>0</v>
      </c>
      <c r="DA49" s="54"/>
      <c r="DB49" s="59">
        <v>0</v>
      </c>
      <c r="DC49" s="54"/>
      <c r="DD49" s="59">
        <v>0</v>
      </c>
      <c r="DE49" s="54"/>
      <c r="DF49" s="59">
        <v>0</v>
      </c>
      <c r="DG49" s="54"/>
      <c r="DH49" s="54"/>
      <c r="DI49" s="70"/>
      <c r="DJ49" s="50"/>
      <c r="DK49" s="50"/>
      <c r="DL49" s="50"/>
      <c r="DM49" s="50"/>
      <c r="DN49" s="50"/>
      <c r="DO49" s="50"/>
      <c r="DP49" s="70"/>
      <c r="DQ49" s="70"/>
      <c r="DR49" s="70"/>
      <c r="DS49" s="70"/>
      <c r="DT49" s="70"/>
      <c r="DU49" s="70"/>
      <c r="DV49" s="70"/>
      <c r="DW49" s="70"/>
      <c r="DX49" s="70"/>
      <c r="DY49" s="70"/>
      <c r="DZ49" s="70"/>
      <c r="EA49" s="70"/>
      <c r="EB49" s="70"/>
      <c r="EC49" s="70"/>
      <c r="ED49" s="70"/>
      <c r="EE49" s="70"/>
      <c r="EF49" s="70"/>
      <c r="EG49" s="70"/>
      <c r="EH49" s="70"/>
      <c r="EI49" s="70"/>
    </row>
    <row r="50" spans="1:139" s="47" customFormat="1" ht="39.75" customHeight="1">
      <c r="A50" s="50">
        <v>91</v>
      </c>
      <c r="B50" s="54">
        <v>43363</v>
      </c>
      <c r="C50" s="55">
        <v>43363.614583333336</v>
      </c>
      <c r="D50" s="56">
        <v>40760505</v>
      </c>
      <c r="E50" s="50" t="s">
        <v>306</v>
      </c>
      <c r="F50" s="47" t="b">
        <v>1</v>
      </c>
      <c r="H50" s="50" t="s">
        <v>129</v>
      </c>
      <c r="I50" s="54">
        <v>27702</v>
      </c>
      <c r="J50" s="50">
        <v>42.906849315068492</v>
      </c>
      <c r="K50" s="181">
        <v>514.82577251808016</v>
      </c>
      <c r="L50" s="50" t="s">
        <v>114</v>
      </c>
      <c r="M50" s="186" t="s">
        <v>307</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v>0</v>
      </c>
      <c r="AK50" s="323">
        <f t="shared" si="0"/>
        <v>0</v>
      </c>
      <c r="AL50" s="186"/>
      <c r="AM50" s="58">
        <v>43357</v>
      </c>
      <c r="AN50" s="52" t="s">
        <v>1613</v>
      </c>
      <c r="AO50" s="54">
        <v>43385</v>
      </c>
      <c r="AP50" s="54" t="s">
        <v>1614</v>
      </c>
      <c r="AQ50" s="58">
        <v>43352</v>
      </c>
      <c r="AR50" s="52">
        <v>1</v>
      </c>
      <c r="AS50" s="52" t="s">
        <v>1615</v>
      </c>
      <c r="AT50" s="323">
        <v>0</v>
      </c>
      <c r="AU50" s="52">
        <v>0</v>
      </c>
      <c r="AV50" s="52">
        <v>0</v>
      </c>
      <c r="AW50" s="52">
        <v>1</v>
      </c>
      <c r="AX50" s="50" t="s">
        <v>308</v>
      </c>
      <c r="AY50" s="70"/>
      <c r="AZ50" s="193" t="s">
        <v>1537</v>
      </c>
      <c r="BA50" s="47">
        <v>0</v>
      </c>
      <c r="BB50" s="69">
        <v>1</v>
      </c>
      <c r="BC50" s="69"/>
      <c r="BD50" s="69">
        <v>0</v>
      </c>
      <c r="BE50" s="69">
        <v>0</v>
      </c>
      <c r="BF50" s="234">
        <v>0</v>
      </c>
      <c r="BG50" s="766">
        <v>0</v>
      </c>
      <c r="BH50" s="766"/>
      <c r="BI50" s="223">
        <v>0</v>
      </c>
      <c r="BJ50" s="70"/>
      <c r="BK50" s="70">
        <v>0</v>
      </c>
      <c r="BL50" s="70"/>
      <c r="BM50" s="70">
        <v>0</v>
      </c>
      <c r="BN50" s="70"/>
      <c r="BO50" s="70">
        <v>0</v>
      </c>
      <c r="BP50" s="70">
        <v>0</v>
      </c>
      <c r="BQ50" s="70">
        <v>0</v>
      </c>
      <c r="BR50" s="70">
        <v>0</v>
      </c>
      <c r="BS50" s="240">
        <v>0</v>
      </c>
      <c r="BT50" s="223">
        <v>1</v>
      </c>
      <c r="BU50" s="70" t="s">
        <v>1616</v>
      </c>
      <c r="BV50" s="70">
        <v>0</v>
      </c>
      <c r="BW50" s="70">
        <v>0</v>
      </c>
      <c r="BX50" s="70">
        <v>0</v>
      </c>
      <c r="BY50" s="70"/>
      <c r="BZ50" s="70"/>
      <c r="CA50" s="70"/>
      <c r="CB50" s="70">
        <v>0</v>
      </c>
      <c r="CC50" s="70">
        <v>0</v>
      </c>
      <c r="CD50" s="70">
        <v>0</v>
      </c>
      <c r="CE50" s="70"/>
      <c r="CF50" s="70"/>
      <c r="CG50" s="70"/>
      <c r="CH50" s="70">
        <v>0</v>
      </c>
      <c r="CI50" s="70"/>
      <c r="CJ50" s="70">
        <v>0</v>
      </c>
      <c r="CK50" s="70">
        <v>0</v>
      </c>
      <c r="CL50" s="70">
        <v>0</v>
      </c>
      <c r="CM50" s="47">
        <v>94</v>
      </c>
      <c r="CN50" s="47">
        <v>76</v>
      </c>
      <c r="CP50" s="504">
        <v>27.9</v>
      </c>
      <c r="CQ50" s="504">
        <v>32</v>
      </c>
      <c r="CR50" s="54">
        <v>43362</v>
      </c>
      <c r="CS50" s="54">
        <v>43386</v>
      </c>
      <c r="CT50" s="78">
        <v>23</v>
      </c>
      <c r="CU50" s="79">
        <v>44229</v>
      </c>
      <c r="CV50" s="59">
        <v>0</v>
      </c>
      <c r="CW50" s="54"/>
      <c r="CX50" s="59">
        <v>0</v>
      </c>
      <c r="CY50" s="59">
        <v>0</v>
      </c>
      <c r="CZ50" s="59">
        <v>0</v>
      </c>
      <c r="DA50" s="54"/>
      <c r="DB50" s="59">
        <v>0</v>
      </c>
      <c r="DC50" s="54"/>
      <c r="DD50" s="59">
        <v>0</v>
      </c>
      <c r="DE50" s="54"/>
      <c r="DF50" s="59">
        <v>0</v>
      </c>
      <c r="DG50" s="54"/>
      <c r="DH50" s="54"/>
      <c r="DI50" s="70"/>
      <c r="DJ50" s="50"/>
      <c r="DK50" s="50"/>
      <c r="DL50" s="50"/>
      <c r="DM50" s="50"/>
      <c r="DN50" s="50"/>
      <c r="DO50" s="50"/>
      <c r="DP50" s="70"/>
      <c r="DQ50" s="70"/>
      <c r="DR50" s="70"/>
      <c r="DS50" s="70"/>
      <c r="DT50" s="70"/>
      <c r="DU50" s="70"/>
      <c r="DV50" s="70"/>
      <c r="DW50" s="70"/>
      <c r="DX50" s="70"/>
      <c r="DY50" s="70"/>
      <c r="DZ50" s="70"/>
      <c r="EA50" s="70"/>
      <c r="EB50" s="70"/>
      <c r="EC50" s="70"/>
      <c r="ED50" s="70"/>
      <c r="EE50" s="70"/>
      <c r="EF50" s="70"/>
      <c r="EG50" s="70"/>
      <c r="EH50" s="70"/>
      <c r="EI50" s="70"/>
    </row>
    <row r="51" spans="1:139" s="47" customFormat="1" ht="39.75" customHeight="1">
      <c r="A51" s="50">
        <v>92</v>
      </c>
      <c r="B51" s="54">
        <v>43362</v>
      </c>
      <c r="C51" s="55">
        <v>43362.331250000003</v>
      </c>
      <c r="D51" s="56">
        <v>37230781</v>
      </c>
      <c r="E51" s="50" t="s">
        <v>309</v>
      </c>
      <c r="F51" s="47" t="b">
        <v>1</v>
      </c>
      <c r="H51" s="50" t="s">
        <v>113</v>
      </c>
      <c r="I51" s="54">
        <v>24599</v>
      </c>
      <c r="J51" s="50">
        <v>51.405479452054792</v>
      </c>
      <c r="K51" s="181">
        <v>616.79815910585137</v>
      </c>
      <c r="L51" s="50" t="s">
        <v>121</v>
      </c>
      <c r="M51" s="186" t="s">
        <v>310</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v>0</v>
      </c>
      <c r="AK51" s="323">
        <f t="shared" si="0"/>
        <v>1</v>
      </c>
      <c r="AL51" s="186" t="s">
        <v>1617</v>
      </c>
      <c r="AM51" s="58">
        <v>43348</v>
      </c>
      <c r="AN51" s="52" t="s">
        <v>1619</v>
      </c>
      <c r="AO51" s="54">
        <v>43390</v>
      </c>
      <c r="AP51" s="50" t="s">
        <v>1618</v>
      </c>
      <c r="AQ51" s="58">
        <v>43332</v>
      </c>
      <c r="AR51" s="52">
        <v>1</v>
      </c>
      <c r="AS51" s="52" t="s">
        <v>1620</v>
      </c>
      <c r="AT51" s="323">
        <v>0</v>
      </c>
      <c r="AU51" s="52">
        <v>1</v>
      </c>
      <c r="AV51" s="52">
        <v>0</v>
      </c>
      <c r="AW51" s="52">
        <v>1</v>
      </c>
      <c r="AX51" s="50" t="s">
        <v>311</v>
      </c>
      <c r="AY51" s="70"/>
      <c r="AZ51" s="193" t="s">
        <v>1596</v>
      </c>
      <c r="BA51" s="47">
        <v>0</v>
      </c>
      <c r="BB51" s="69">
        <v>1</v>
      </c>
      <c r="BC51" s="69"/>
      <c r="BD51" s="69">
        <v>0</v>
      </c>
      <c r="BE51" s="69">
        <v>0</v>
      </c>
      <c r="BF51" s="234">
        <v>1</v>
      </c>
      <c r="BG51" s="766">
        <v>0</v>
      </c>
      <c r="BH51" s="766"/>
      <c r="BI51" s="223">
        <v>0</v>
      </c>
      <c r="BJ51" s="70"/>
      <c r="BK51" s="70">
        <v>0</v>
      </c>
      <c r="BL51" s="70"/>
      <c r="BM51" s="70">
        <v>0</v>
      </c>
      <c r="BN51" s="70"/>
      <c r="BO51" s="70">
        <v>0</v>
      </c>
      <c r="BP51" s="70">
        <v>0</v>
      </c>
      <c r="BQ51" s="70">
        <v>0</v>
      </c>
      <c r="BR51" s="70">
        <v>0</v>
      </c>
      <c r="BS51" s="240">
        <v>0</v>
      </c>
      <c r="BT51" s="223">
        <v>1</v>
      </c>
      <c r="BU51" s="70" t="s">
        <v>1621</v>
      </c>
      <c r="BV51" s="70">
        <v>0</v>
      </c>
      <c r="BW51" s="70">
        <v>0</v>
      </c>
      <c r="BX51" s="70">
        <v>0</v>
      </c>
      <c r="BY51" s="70"/>
      <c r="BZ51" s="70"/>
      <c r="CA51" s="70"/>
      <c r="CB51" s="70">
        <v>0</v>
      </c>
      <c r="CC51" s="70">
        <v>0</v>
      </c>
      <c r="CD51" s="70">
        <v>0</v>
      </c>
      <c r="CE51" s="70"/>
      <c r="CF51" s="70"/>
      <c r="CG51" s="70"/>
      <c r="CH51" s="70">
        <v>0</v>
      </c>
      <c r="CI51" s="70"/>
      <c r="CJ51" s="70">
        <v>0</v>
      </c>
      <c r="CK51" s="70">
        <v>0</v>
      </c>
      <c r="CL51" s="70">
        <v>0</v>
      </c>
      <c r="CM51" s="47">
        <v>165</v>
      </c>
      <c r="CN51" s="47">
        <v>132</v>
      </c>
      <c r="CP51" s="504">
        <v>30.9</v>
      </c>
      <c r="CQ51" s="504">
        <v>32.5</v>
      </c>
      <c r="CR51" s="54">
        <v>43349</v>
      </c>
      <c r="CS51" s="54">
        <v>43380</v>
      </c>
      <c r="CT51" s="78">
        <v>18</v>
      </c>
      <c r="CU51" s="79">
        <v>44270</v>
      </c>
      <c r="CV51" s="59">
        <v>0</v>
      </c>
      <c r="CW51" s="54"/>
      <c r="CX51" s="59">
        <v>0</v>
      </c>
      <c r="CY51" s="59">
        <v>0</v>
      </c>
      <c r="CZ51" s="59">
        <v>0</v>
      </c>
      <c r="DA51" s="54"/>
      <c r="DB51" s="59">
        <v>0</v>
      </c>
      <c r="DC51" s="54"/>
      <c r="DD51" s="59">
        <v>0</v>
      </c>
      <c r="DE51" s="54"/>
      <c r="DF51" s="59">
        <v>0</v>
      </c>
      <c r="DG51" s="54"/>
      <c r="DH51" s="54"/>
      <c r="DI51" s="70"/>
      <c r="DJ51" s="50"/>
      <c r="DK51" s="50"/>
      <c r="DL51" s="50"/>
      <c r="DM51" s="50"/>
      <c r="DN51" s="50"/>
      <c r="DO51" s="50"/>
      <c r="DP51" s="70"/>
      <c r="DQ51" s="70"/>
      <c r="DR51" s="70"/>
      <c r="DS51" s="70"/>
      <c r="DT51" s="70"/>
      <c r="DU51" s="70"/>
      <c r="DV51" s="70"/>
      <c r="DW51" s="70"/>
      <c r="DX51" s="70"/>
      <c r="DY51" s="70"/>
      <c r="DZ51" s="70"/>
      <c r="EA51" s="70"/>
      <c r="EB51" s="70"/>
      <c r="EC51" s="70"/>
      <c r="ED51" s="70"/>
      <c r="EE51" s="70"/>
      <c r="EF51" s="70"/>
      <c r="EG51" s="70"/>
      <c r="EH51" s="70"/>
      <c r="EI51" s="70"/>
    </row>
    <row r="52" spans="1:139" s="48" customFormat="1" ht="39.75" customHeight="1">
      <c r="A52" s="60">
        <v>94</v>
      </c>
      <c r="B52" s="61">
        <v>43357</v>
      </c>
      <c r="C52" s="62">
        <v>43357.3125</v>
      </c>
      <c r="D52" s="63">
        <v>40396687</v>
      </c>
      <c r="E52" s="60" t="s">
        <v>312</v>
      </c>
      <c r="F52" s="48" t="b">
        <v>0</v>
      </c>
      <c r="G52" s="48" t="s">
        <v>1558</v>
      </c>
      <c r="H52" s="60" t="s">
        <v>113</v>
      </c>
      <c r="I52" s="61">
        <v>35878</v>
      </c>
      <c r="J52" s="60">
        <v>20.490410958904111</v>
      </c>
      <c r="K52" s="85">
        <v>245.85798816568047</v>
      </c>
      <c r="L52" s="60" t="s">
        <v>125</v>
      </c>
      <c r="M52" s="187" t="s">
        <v>313</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c r="AK52" s="324">
        <f t="shared" si="0"/>
        <v>0</v>
      </c>
      <c r="AL52" s="187"/>
      <c r="AM52" s="191"/>
      <c r="AN52" s="51"/>
      <c r="AO52" s="61">
        <v>43301</v>
      </c>
      <c r="AP52" s="60" t="s">
        <v>187</v>
      </c>
      <c r="AQ52" s="191"/>
      <c r="AR52" s="51">
        <v>1</v>
      </c>
      <c r="AS52" s="51" t="s">
        <v>314</v>
      </c>
      <c r="AT52" s="324">
        <v>0</v>
      </c>
      <c r="AU52" s="51">
        <v>1</v>
      </c>
      <c r="AV52" s="51">
        <v>0</v>
      </c>
      <c r="AW52" s="51">
        <v>0</v>
      </c>
      <c r="AX52" s="51" t="s">
        <v>317</v>
      </c>
      <c r="AY52" s="71"/>
      <c r="AZ52" s="91"/>
      <c r="BB52" s="82">
        <v>1</v>
      </c>
      <c r="BC52" s="82" t="e">
        <v>#REF!</v>
      </c>
      <c r="BD52" s="82">
        <v>0</v>
      </c>
      <c r="BE52" s="82">
        <v>0</v>
      </c>
      <c r="BF52" s="235">
        <v>1</v>
      </c>
      <c r="BG52" s="767"/>
      <c r="BH52" s="767"/>
      <c r="BI52" s="224">
        <v>1</v>
      </c>
      <c r="BJ52" s="71"/>
      <c r="BK52" s="71" t="s">
        <v>315</v>
      </c>
      <c r="BL52" s="71"/>
      <c r="BM52" s="93" t="s">
        <v>316</v>
      </c>
      <c r="BN52" s="93"/>
      <c r="BO52" s="93"/>
      <c r="BP52" s="93"/>
      <c r="BQ52" s="93"/>
      <c r="BR52" s="93"/>
      <c r="BS52" s="245" t="s">
        <v>148</v>
      </c>
      <c r="BT52" s="224"/>
      <c r="BU52" s="71"/>
      <c r="BV52" s="71"/>
      <c r="BW52" s="71"/>
      <c r="BX52" s="71">
        <v>0</v>
      </c>
      <c r="BY52" s="71"/>
      <c r="BZ52" s="71"/>
      <c r="CA52" s="71"/>
      <c r="CB52" s="86">
        <v>0</v>
      </c>
      <c r="CC52" s="86"/>
      <c r="CD52" s="86"/>
      <c r="CE52" s="86"/>
      <c r="CF52" s="86"/>
      <c r="CG52" s="71"/>
      <c r="CH52" s="71"/>
      <c r="CI52" s="71"/>
      <c r="CJ52" s="71"/>
      <c r="CK52" s="71"/>
      <c r="CL52" s="71"/>
      <c r="CM52" s="48">
        <v>133</v>
      </c>
      <c r="CN52" s="48">
        <v>84</v>
      </c>
      <c r="CP52" s="505">
        <v>29.5</v>
      </c>
      <c r="CQ52" s="505">
        <v>31.6</v>
      </c>
      <c r="CR52" s="61">
        <v>43354</v>
      </c>
      <c r="CS52" s="61">
        <v>43363</v>
      </c>
      <c r="CT52" s="83">
        <v>6</v>
      </c>
      <c r="CU52" s="84"/>
      <c r="CV52" s="65">
        <v>0</v>
      </c>
      <c r="CW52" s="61"/>
      <c r="CX52" s="65"/>
      <c r="CY52" s="65"/>
      <c r="CZ52" s="65"/>
      <c r="DA52" s="61"/>
      <c r="DB52" s="65">
        <v>0</v>
      </c>
      <c r="DC52" s="61"/>
      <c r="DD52" s="65">
        <v>0</v>
      </c>
      <c r="DE52" s="61"/>
      <c r="DF52" s="65">
        <v>0</v>
      </c>
      <c r="DG52" s="61"/>
      <c r="DH52" s="87" t="s">
        <v>220</v>
      </c>
      <c r="DI52" s="71"/>
      <c r="DJ52" s="60"/>
      <c r="DK52" s="60"/>
      <c r="DL52" s="60"/>
      <c r="DM52" s="60"/>
      <c r="DN52" s="60"/>
      <c r="DO52" s="60"/>
      <c r="DP52" s="71"/>
      <c r="DQ52" s="71"/>
      <c r="DR52" s="71"/>
      <c r="DS52" s="71"/>
      <c r="DT52" s="71"/>
      <c r="DU52" s="71"/>
      <c r="DV52" s="71"/>
      <c r="DW52" s="71"/>
      <c r="DX52" s="71"/>
      <c r="DY52" s="71"/>
      <c r="DZ52" s="71"/>
      <c r="EA52" s="71"/>
      <c r="EB52" s="71"/>
      <c r="EC52" s="71"/>
      <c r="ED52" s="71"/>
      <c r="EE52" s="71"/>
      <c r="EF52" s="71"/>
      <c r="EG52" s="71"/>
      <c r="EH52" s="71"/>
      <c r="EI52" s="71"/>
    </row>
    <row r="53" spans="1:139" s="47" customFormat="1" ht="39.75" customHeight="1">
      <c r="A53" s="50">
        <v>95</v>
      </c>
      <c r="B53" s="54">
        <v>43346</v>
      </c>
      <c r="C53" s="55">
        <v>43346.3125</v>
      </c>
      <c r="D53" s="56">
        <v>40576920</v>
      </c>
      <c r="E53" s="50" t="s">
        <v>318</v>
      </c>
      <c r="F53" s="47" t="b">
        <v>1</v>
      </c>
      <c r="H53" s="50" t="s">
        <v>129</v>
      </c>
      <c r="I53" s="54">
        <v>27717</v>
      </c>
      <c r="J53" s="50">
        <v>42.819178082191783</v>
      </c>
      <c r="K53" s="181">
        <v>513.77383300460224</v>
      </c>
      <c r="L53" s="50" t="s">
        <v>216</v>
      </c>
      <c r="M53" s="186" t="s">
        <v>319</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v>0</v>
      </c>
      <c r="AK53" s="323">
        <f t="shared" si="0"/>
        <v>0</v>
      </c>
      <c r="AL53" s="186"/>
      <c r="AM53" s="58">
        <v>43321</v>
      </c>
      <c r="AN53" s="52" t="s">
        <v>1592</v>
      </c>
      <c r="AO53" s="54">
        <v>43353</v>
      </c>
      <c r="AP53" s="50" t="s">
        <v>223</v>
      </c>
      <c r="AQ53" s="58"/>
      <c r="AR53" s="52">
        <v>0</v>
      </c>
      <c r="AS53" s="52"/>
      <c r="AT53" s="323">
        <v>0</v>
      </c>
      <c r="AU53" s="52">
        <v>1</v>
      </c>
      <c r="AV53" s="52">
        <v>0</v>
      </c>
      <c r="AW53" s="52">
        <v>0</v>
      </c>
      <c r="AX53" s="52" t="s">
        <v>320</v>
      </c>
      <c r="AY53" s="70"/>
      <c r="AZ53" s="193" t="s">
        <v>1596</v>
      </c>
      <c r="BA53" s="47">
        <v>0</v>
      </c>
      <c r="BB53" s="69">
        <v>1</v>
      </c>
      <c r="BC53" s="69"/>
      <c r="BD53" s="69">
        <v>0</v>
      </c>
      <c r="BE53" s="69">
        <v>0</v>
      </c>
      <c r="BF53" s="234">
        <v>1</v>
      </c>
      <c r="BG53" s="766">
        <v>0</v>
      </c>
      <c r="BH53" s="766"/>
      <c r="BI53" s="223">
        <v>1</v>
      </c>
      <c r="BJ53" s="70"/>
      <c r="BK53" s="70">
        <v>0</v>
      </c>
      <c r="BL53" s="70" t="s">
        <v>1622</v>
      </c>
      <c r="BM53" s="70">
        <v>0</v>
      </c>
      <c r="BN53" s="70" t="s">
        <v>1623</v>
      </c>
      <c r="BO53" s="70">
        <v>0</v>
      </c>
      <c r="BP53" s="70">
        <v>0</v>
      </c>
      <c r="BQ53" s="70">
        <v>1</v>
      </c>
      <c r="BR53" s="70">
        <v>0</v>
      </c>
      <c r="BS53" s="242">
        <v>0</v>
      </c>
      <c r="BT53" s="223">
        <v>0</v>
      </c>
      <c r="BU53" s="70"/>
      <c r="BV53" s="70">
        <v>0</v>
      </c>
      <c r="BW53" s="70">
        <v>0</v>
      </c>
      <c r="BX53" s="70">
        <v>0</v>
      </c>
      <c r="BY53" s="70"/>
      <c r="BZ53" s="70"/>
      <c r="CA53" s="70"/>
      <c r="CB53" s="70">
        <v>0</v>
      </c>
      <c r="CC53" s="70">
        <v>0</v>
      </c>
      <c r="CD53" s="70">
        <v>0</v>
      </c>
      <c r="CE53" s="77"/>
      <c r="CF53" s="77"/>
      <c r="CG53" s="70"/>
      <c r="CH53" s="70">
        <v>0</v>
      </c>
      <c r="CI53" s="70"/>
      <c r="CJ53" s="70">
        <v>0</v>
      </c>
      <c r="CK53" s="70">
        <v>0</v>
      </c>
      <c r="CL53" s="70">
        <v>0</v>
      </c>
      <c r="CM53" s="47">
        <v>89</v>
      </c>
      <c r="CN53" s="47">
        <v>65</v>
      </c>
      <c r="CP53" s="504">
        <v>28.4</v>
      </c>
      <c r="CQ53" s="504">
        <v>29.7</v>
      </c>
      <c r="CR53" s="54">
        <v>43340</v>
      </c>
      <c r="CS53" s="54">
        <v>43353</v>
      </c>
      <c r="CT53" s="78">
        <v>7</v>
      </c>
      <c r="CU53" s="79">
        <v>44097</v>
      </c>
      <c r="CV53" s="59">
        <v>0</v>
      </c>
      <c r="CW53" s="54"/>
      <c r="CX53" s="59">
        <v>0</v>
      </c>
      <c r="CY53" s="59">
        <v>0</v>
      </c>
      <c r="CZ53" s="59">
        <v>0</v>
      </c>
      <c r="DA53" s="54"/>
      <c r="DB53" s="59">
        <v>0</v>
      </c>
      <c r="DC53" s="54"/>
      <c r="DD53" s="59">
        <v>0</v>
      </c>
      <c r="DE53" s="54"/>
      <c r="DF53" s="59">
        <v>0</v>
      </c>
      <c r="DG53" s="54"/>
      <c r="DH53" s="66"/>
      <c r="DI53" s="70"/>
      <c r="DJ53" s="50"/>
      <c r="DK53" s="50"/>
      <c r="DL53" s="50"/>
      <c r="DM53" s="50"/>
      <c r="DN53" s="50"/>
      <c r="DO53" s="50"/>
      <c r="DP53" s="70"/>
      <c r="DQ53" s="70"/>
      <c r="DR53" s="70"/>
      <c r="DS53" s="70"/>
      <c r="DT53" s="70"/>
      <c r="DU53" s="70"/>
      <c r="DV53" s="70"/>
      <c r="DW53" s="70"/>
      <c r="DX53" s="70"/>
      <c r="DY53" s="70"/>
      <c r="DZ53" s="70"/>
      <c r="EA53" s="70"/>
      <c r="EB53" s="70"/>
      <c r="EC53" s="70"/>
      <c r="ED53" s="70"/>
      <c r="EE53" s="70"/>
      <c r="EF53" s="70"/>
      <c r="EG53" s="70"/>
      <c r="EH53" s="70"/>
      <c r="EI53" s="70"/>
    </row>
    <row r="54" spans="1:139" s="47" customFormat="1" ht="39.75" customHeight="1">
      <c r="A54" s="50">
        <v>96</v>
      </c>
      <c r="B54" s="54">
        <v>43303</v>
      </c>
      <c r="C54" s="55">
        <v>43303.375</v>
      </c>
      <c r="D54" s="56">
        <v>40404229</v>
      </c>
      <c r="E54" s="50" t="s">
        <v>321</v>
      </c>
      <c r="F54" s="47" t="b">
        <v>1</v>
      </c>
      <c r="H54" s="50" t="s">
        <v>113</v>
      </c>
      <c r="I54" s="54">
        <v>24109</v>
      </c>
      <c r="J54" s="50">
        <v>52.586301369863016</v>
      </c>
      <c r="K54" s="181">
        <v>630.96646942800783</v>
      </c>
      <c r="L54" s="50" t="s">
        <v>114</v>
      </c>
      <c r="M54" s="186" t="s">
        <v>322</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v>0</v>
      </c>
      <c r="AK54" s="323">
        <f t="shared" si="0"/>
        <v>0</v>
      </c>
      <c r="AL54" s="186"/>
      <c r="AM54" s="58">
        <v>43301</v>
      </c>
      <c r="AN54" s="52" t="s">
        <v>1624</v>
      </c>
      <c r="AO54" s="54">
        <v>43336</v>
      </c>
      <c r="AP54" s="50" t="s">
        <v>1627</v>
      </c>
      <c r="AQ54" s="58">
        <v>43301</v>
      </c>
      <c r="AR54" s="52">
        <v>0</v>
      </c>
      <c r="AS54" s="52"/>
      <c r="AT54" s="323">
        <v>0</v>
      </c>
      <c r="AU54" s="52">
        <v>1</v>
      </c>
      <c r="AV54" s="52">
        <v>0</v>
      </c>
      <c r="AW54" s="52">
        <v>0</v>
      </c>
      <c r="AX54" s="52" t="s">
        <v>323</v>
      </c>
      <c r="AY54" s="70"/>
      <c r="AZ54" s="193" t="s">
        <v>1596</v>
      </c>
      <c r="BA54" s="47">
        <v>0</v>
      </c>
      <c r="BB54" s="69">
        <v>1</v>
      </c>
      <c r="BC54" s="69"/>
      <c r="BD54" s="69">
        <v>1</v>
      </c>
      <c r="BE54" s="69">
        <v>0</v>
      </c>
      <c r="BF54" s="234">
        <v>1</v>
      </c>
      <c r="BG54" s="766">
        <v>0</v>
      </c>
      <c r="BH54" s="766"/>
      <c r="BI54" s="223">
        <v>0</v>
      </c>
      <c r="BJ54" s="70"/>
      <c r="BK54" s="70">
        <v>0</v>
      </c>
      <c r="BL54" s="70"/>
      <c r="BM54" s="70">
        <v>0</v>
      </c>
      <c r="BN54" s="70"/>
      <c r="BO54" s="70">
        <v>0</v>
      </c>
      <c r="BP54" s="70">
        <v>0</v>
      </c>
      <c r="BQ54" s="70">
        <v>0</v>
      </c>
      <c r="BR54" s="70">
        <v>0</v>
      </c>
      <c r="BS54" s="240">
        <v>0</v>
      </c>
      <c r="BT54" s="223">
        <v>1</v>
      </c>
      <c r="BU54" s="70" t="s">
        <v>1625</v>
      </c>
      <c r="BV54" s="70">
        <v>0</v>
      </c>
      <c r="BW54" s="70">
        <v>0</v>
      </c>
      <c r="BX54" s="70">
        <v>0</v>
      </c>
      <c r="BY54" s="70"/>
      <c r="BZ54" s="70"/>
      <c r="CA54" s="70"/>
      <c r="CB54" s="70">
        <v>0</v>
      </c>
      <c r="CC54" s="70">
        <v>0</v>
      </c>
      <c r="CD54" s="70">
        <v>0</v>
      </c>
      <c r="CE54" s="70"/>
      <c r="CF54" s="70"/>
      <c r="CG54" s="70"/>
      <c r="CH54" s="70">
        <v>1</v>
      </c>
      <c r="CI54" s="70" t="s">
        <v>1626</v>
      </c>
      <c r="CJ54" s="70">
        <v>0</v>
      </c>
      <c r="CK54" s="70">
        <v>0</v>
      </c>
      <c r="CL54" s="70">
        <v>0</v>
      </c>
      <c r="CP54" s="504">
        <v>31.2</v>
      </c>
      <c r="CQ54" s="504">
        <v>33</v>
      </c>
      <c r="CR54" s="54">
        <v>43301</v>
      </c>
      <c r="CS54" s="54">
        <v>43319</v>
      </c>
      <c r="CT54" s="78">
        <v>16</v>
      </c>
      <c r="CU54" s="79">
        <v>44247</v>
      </c>
      <c r="CV54" s="59">
        <v>0</v>
      </c>
      <c r="CW54" s="54"/>
      <c r="CX54" s="59">
        <v>0</v>
      </c>
      <c r="CY54" s="59">
        <v>0</v>
      </c>
      <c r="CZ54" s="59">
        <v>0</v>
      </c>
      <c r="DA54" s="54"/>
      <c r="DB54" s="59">
        <v>0</v>
      </c>
      <c r="DC54" s="54"/>
      <c r="DD54" s="59">
        <v>0</v>
      </c>
      <c r="DE54" s="54"/>
      <c r="DF54" s="59">
        <v>0</v>
      </c>
      <c r="DG54" s="54"/>
      <c r="DH54" s="54"/>
      <c r="DI54" s="70"/>
      <c r="DJ54" s="50"/>
      <c r="DK54" s="50"/>
      <c r="DL54" s="50"/>
      <c r="DM54" s="50"/>
      <c r="DN54" s="50"/>
      <c r="DO54" s="50"/>
      <c r="DP54" s="70"/>
      <c r="DQ54" s="70"/>
      <c r="DR54" s="70"/>
      <c r="DS54" s="70"/>
      <c r="DT54" s="70"/>
      <c r="DU54" s="70"/>
      <c r="DV54" s="70"/>
      <c r="DW54" s="70"/>
      <c r="DX54" s="70"/>
      <c r="DY54" s="70"/>
      <c r="DZ54" s="70"/>
      <c r="EA54" s="70"/>
      <c r="EB54" s="70"/>
      <c r="EC54" s="70"/>
      <c r="ED54" s="70"/>
      <c r="EE54" s="70"/>
      <c r="EF54" s="70"/>
      <c r="EG54" s="70"/>
      <c r="EH54" s="70"/>
      <c r="EI54" s="70"/>
    </row>
    <row r="55" spans="1:139" s="48" customFormat="1" ht="39.75" customHeight="1">
      <c r="A55" s="60">
        <v>97</v>
      </c>
      <c r="B55" s="61">
        <v>43284</v>
      </c>
      <c r="C55" s="62">
        <v>43284.982638888891</v>
      </c>
      <c r="D55" s="63">
        <v>37430714</v>
      </c>
      <c r="E55" s="60" t="s">
        <v>324</v>
      </c>
      <c r="F55" s="48" t="b">
        <v>0</v>
      </c>
      <c r="G55" s="48" t="s">
        <v>1597</v>
      </c>
      <c r="H55" s="60" t="s">
        <v>113</v>
      </c>
      <c r="I55" s="61">
        <v>20278</v>
      </c>
      <c r="J55" s="60">
        <v>63.030136986301372</v>
      </c>
      <c r="K55" s="85">
        <v>756.27876397107161</v>
      </c>
      <c r="L55" s="60" t="s">
        <v>191</v>
      </c>
      <c r="M55" s="187" t="s">
        <v>325</v>
      </c>
      <c r="N55" s="48">
        <v>163</v>
      </c>
      <c r="O55" s="48">
        <v>58</v>
      </c>
      <c r="P55" s="48">
        <f t="shared" si="1"/>
        <v>21.829952199932254</v>
      </c>
      <c r="Q55" s="191"/>
      <c r="V55" s="51"/>
      <c r="Y55" s="216"/>
      <c r="Z55" s="336"/>
      <c r="AA55" s="324"/>
      <c r="AB55" s="324"/>
      <c r="AC55" s="324"/>
      <c r="AD55" s="324"/>
      <c r="AE55" s="324"/>
      <c r="AF55" s="324"/>
      <c r="AG55" s="324"/>
      <c r="AH55" s="324"/>
      <c r="AI55" s="324"/>
      <c r="AJ55" s="324"/>
      <c r="AK55" s="324">
        <f t="shared" si="0"/>
        <v>0</v>
      </c>
      <c r="AL55" s="187"/>
      <c r="AM55" s="191"/>
      <c r="AN55" s="51"/>
      <c r="AO55" s="61"/>
      <c r="AP55" s="60"/>
      <c r="AQ55" s="191"/>
      <c r="AR55" s="51"/>
      <c r="AS55" s="51"/>
      <c r="AT55" s="324"/>
      <c r="AU55" s="51"/>
      <c r="AV55" s="51"/>
      <c r="AW55" s="51"/>
      <c r="AX55" s="51" t="s">
        <v>326</v>
      </c>
      <c r="AY55" s="71"/>
      <c r="AZ55" s="91"/>
      <c r="BB55" s="82"/>
      <c r="BC55" s="82"/>
      <c r="BD55" s="82"/>
      <c r="BE55" s="82"/>
      <c r="BF55" s="235"/>
      <c r="BG55" s="767"/>
      <c r="BH55" s="767"/>
      <c r="BI55" s="224"/>
      <c r="BJ55" s="71"/>
      <c r="BK55" s="71"/>
      <c r="BL55" s="71"/>
      <c r="BM55" s="71"/>
      <c r="BN55" s="71"/>
      <c r="BO55" s="71"/>
      <c r="BP55" s="71"/>
      <c r="BQ55" s="71"/>
      <c r="BR55" s="71"/>
      <c r="BS55" s="241"/>
      <c r="BT55" s="224" t="s">
        <v>245</v>
      </c>
      <c r="BU55" s="71"/>
      <c r="BV55" s="71"/>
      <c r="BW55" s="71"/>
      <c r="BX55" s="71"/>
      <c r="BY55" s="71"/>
      <c r="BZ55" s="71"/>
      <c r="CA55" s="71"/>
      <c r="CB55" s="71"/>
      <c r="CC55" s="71"/>
      <c r="CD55" s="71"/>
      <c r="CE55" s="71"/>
      <c r="CF55" s="71"/>
      <c r="CG55" s="71"/>
      <c r="CH55" s="71"/>
      <c r="CI55" s="71"/>
      <c r="CJ55" s="71"/>
      <c r="CK55" s="71"/>
      <c r="CL55" s="71"/>
      <c r="CM55" s="48">
        <v>107</v>
      </c>
      <c r="CN55" s="48">
        <v>85</v>
      </c>
      <c r="CP55" s="505">
        <v>28</v>
      </c>
      <c r="CQ55" s="505">
        <v>30.4</v>
      </c>
      <c r="CR55" s="61">
        <v>43284</v>
      </c>
      <c r="CS55" s="61">
        <v>43304</v>
      </c>
      <c r="CT55" s="83">
        <v>20</v>
      </c>
      <c r="CU55" s="84"/>
      <c r="CV55" s="65"/>
      <c r="CW55" s="61"/>
      <c r="CX55" s="65"/>
      <c r="CY55" s="65"/>
      <c r="CZ55" s="65"/>
      <c r="DA55" s="61"/>
      <c r="DB55" s="65"/>
      <c r="DC55" s="61"/>
      <c r="DD55" s="65"/>
      <c r="DE55" s="61"/>
      <c r="DF55" s="65"/>
      <c r="DG55" s="61"/>
      <c r="DH55" s="61"/>
      <c r="DI55" s="71"/>
      <c r="DJ55" s="60"/>
      <c r="DK55" s="60"/>
      <c r="DL55" s="60"/>
      <c r="DM55" s="60"/>
      <c r="DN55" s="60"/>
      <c r="DO55" s="60"/>
      <c r="DP55" s="71"/>
      <c r="DQ55" s="71"/>
      <c r="DR55" s="71"/>
      <c r="DS55" s="71"/>
      <c r="DT55" s="71"/>
      <c r="DU55" s="71"/>
      <c r="DV55" s="71"/>
      <c r="DW55" s="71"/>
      <c r="DX55" s="71"/>
      <c r="DY55" s="71"/>
      <c r="DZ55" s="71"/>
      <c r="EA55" s="71"/>
      <c r="EB55" s="71"/>
      <c r="EC55" s="71"/>
      <c r="ED55" s="71"/>
      <c r="EE55" s="71"/>
      <c r="EF55" s="71"/>
      <c r="EG55" s="71"/>
      <c r="EH55" s="71"/>
      <c r="EI55" s="71"/>
    </row>
    <row r="56" spans="1:139" s="48" customFormat="1" ht="39.75" customHeight="1">
      <c r="A56" s="60">
        <v>98</v>
      </c>
      <c r="B56" s="61">
        <v>43283</v>
      </c>
      <c r="C56" s="62">
        <v>43283.306944444441</v>
      </c>
      <c r="D56" s="63">
        <v>40088731</v>
      </c>
      <c r="E56" s="60" t="s">
        <v>327</v>
      </c>
      <c r="F56" s="48" t="b">
        <v>0</v>
      </c>
      <c r="G56" s="48" t="s">
        <v>1558</v>
      </c>
      <c r="H56" s="60" t="s">
        <v>129</v>
      </c>
      <c r="I56" s="61">
        <v>26802</v>
      </c>
      <c r="J56" s="60">
        <v>45.153424657534245</v>
      </c>
      <c r="K56" s="85">
        <v>541.7817225509533</v>
      </c>
      <c r="L56" s="60" t="s">
        <v>216</v>
      </c>
      <c r="M56" s="187" t="s">
        <v>328</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c r="AK56" s="324">
        <f t="shared" si="0"/>
        <v>0</v>
      </c>
      <c r="AL56" s="187"/>
      <c r="AM56" s="191"/>
      <c r="AN56" s="51"/>
      <c r="AO56" s="61">
        <v>43250</v>
      </c>
      <c r="AP56" s="60" t="s">
        <v>152</v>
      </c>
      <c r="AQ56" s="191"/>
      <c r="AR56" s="51"/>
      <c r="AS56" s="51"/>
      <c r="AT56" s="324">
        <v>0</v>
      </c>
      <c r="AU56" s="51">
        <v>1</v>
      </c>
      <c r="AV56" s="51">
        <v>0</v>
      </c>
      <c r="AW56" s="51">
        <v>0</v>
      </c>
      <c r="AX56" s="51" t="s">
        <v>331</v>
      </c>
      <c r="AY56" s="71">
        <v>0</v>
      </c>
      <c r="AZ56" s="91">
        <v>1</v>
      </c>
      <c r="BB56" s="82">
        <v>1</v>
      </c>
      <c r="BC56" s="82" t="e">
        <v>#REF!</v>
      </c>
      <c r="BD56" s="82">
        <v>0</v>
      </c>
      <c r="BE56" s="82">
        <v>0</v>
      </c>
      <c r="BF56" s="235">
        <v>0</v>
      </c>
      <c r="BG56" s="767"/>
      <c r="BH56" s="767"/>
      <c r="BI56" s="224">
        <v>1</v>
      </c>
      <c r="BJ56" s="71"/>
      <c r="BK56" s="71" t="s">
        <v>329</v>
      </c>
      <c r="BL56" s="71"/>
      <c r="BM56" s="71" t="s">
        <v>330</v>
      </c>
      <c r="BN56" s="71"/>
      <c r="BO56" s="71"/>
      <c r="BP56" s="71"/>
      <c r="BQ56" s="71"/>
      <c r="BR56" s="71"/>
      <c r="BS56" s="245" t="s">
        <v>148</v>
      </c>
      <c r="BT56" s="224"/>
      <c r="BU56" s="71"/>
      <c r="BV56" s="71"/>
      <c r="BW56" s="71"/>
      <c r="BX56" s="71">
        <v>0</v>
      </c>
      <c r="BY56" s="71"/>
      <c r="BZ56" s="71"/>
      <c r="CA56" s="71" t="e">
        <v>#REF!</v>
      </c>
      <c r="CB56" s="86">
        <v>0</v>
      </c>
      <c r="CC56" s="86"/>
      <c r="CD56" s="86"/>
      <c r="CE56" s="86"/>
      <c r="CF56" s="86">
        <v>0</v>
      </c>
      <c r="CG56" s="71"/>
      <c r="CH56" s="71"/>
      <c r="CI56" s="71"/>
      <c r="CJ56" s="71"/>
      <c r="CK56" s="71"/>
      <c r="CL56" s="71"/>
      <c r="CM56" s="48">
        <v>68</v>
      </c>
      <c r="CN56" s="48">
        <v>49</v>
      </c>
      <c r="CP56" s="505">
        <v>30.5</v>
      </c>
      <c r="CQ56" s="505">
        <v>32.299999999999997</v>
      </c>
      <c r="CR56" s="61">
        <v>43279</v>
      </c>
      <c r="CS56" s="61">
        <v>43290</v>
      </c>
      <c r="CT56" s="83">
        <v>7</v>
      </c>
      <c r="CU56" s="84"/>
      <c r="CV56" s="65">
        <v>0</v>
      </c>
      <c r="CW56" s="61"/>
      <c r="CX56" s="65"/>
      <c r="CY56" s="65"/>
      <c r="CZ56" s="65"/>
      <c r="DA56" s="61"/>
      <c r="DB56" s="65">
        <v>0</v>
      </c>
      <c r="DC56" s="61"/>
      <c r="DD56" s="65">
        <v>0</v>
      </c>
      <c r="DE56" s="61"/>
      <c r="DF56" s="65">
        <v>0</v>
      </c>
      <c r="DG56" s="61"/>
      <c r="DH56" s="67"/>
      <c r="DI56" s="71"/>
      <c r="DJ56" s="60"/>
      <c r="DK56" s="60"/>
      <c r="DL56" s="60"/>
      <c r="DM56" s="60"/>
      <c r="DN56" s="60"/>
      <c r="DO56" s="60"/>
      <c r="DP56" s="71"/>
      <c r="DQ56" s="71"/>
      <c r="DR56" s="71"/>
      <c r="DS56" s="71"/>
      <c r="DT56" s="71"/>
      <c r="DU56" s="71"/>
      <c r="DV56" s="71"/>
      <c r="DW56" s="71"/>
      <c r="DX56" s="71"/>
      <c r="DY56" s="71"/>
      <c r="DZ56" s="71"/>
      <c r="EA56" s="71"/>
      <c r="EB56" s="71"/>
      <c r="EC56" s="71"/>
      <c r="ED56" s="71"/>
      <c r="EE56" s="71"/>
      <c r="EF56" s="71"/>
      <c r="EG56" s="71"/>
      <c r="EH56" s="71"/>
      <c r="EI56" s="71"/>
    </row>
    <row r="57" spans="1:139" s="47" customFormat="1" ht="39.75" customHeight="1">
      <c r="A57" s="50">
        <v>100</v>
      </c>
      <c r="B57" s="54">
        <v>43271</v>
      </c>
      <c r="C57" s="55">
        <v>43271.675694444442</v>
      </c>
      <c r="D57" s="56">
        <v>40200243</v>
      </c>
      <c r="E57" s="50" t="s">
        <v>332</v>
      </c>
      <c r="F57" s="47" t="b">
        <v>1</v>
      </c>
      <c r="H57" s="50" t="s">
        <v>129</v>
      </c>
      <c r="I57" s="54">
        <v>31750</v>
      </c>
      <c r="J57" s="50">
        <v>31.564383561643837</v>
      </c>
      <c r="K57" s="181">
        <v>378.73109796186719</v>
      </c>
      <c r="L57" s="50" t="s">
        <v>166</v>
      </c>
      <c r="M57" s="186" t="s">
        <v>333</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v>0</v>
      </c>
      <c r="AK57" s="323">
        <f t="shared" si="0"/>
        <v>0</v>
      </c>
      <c r="AL57" s="186"/>
      <c r="AM57" s="58">
        <v>43271</v>
      </c>
      <c r="AN57" s="52" t="s">
        <v>1628</v>
      </c>
      <c r="AO57" s="54">
        <v>43312</v>
      </c>
      <c r="AP57" s="50" t="s">
        <v>187</v>
      </c>
      <c r="AQ57" s="58">
        <v>43268</v>
      </c>
      <c r="AR57" s="52">
        <v>0</v>
      </c>
      <c r="AS57" s="52"/>
      <c r="AT57" s="323">
        <v>0</v>
      </c>
      <c r="AU57" s="52">
        <v>0</v>
      </c>
      <c r="AV57" s="52">
        <v>0</v>
      </c>
      <c r="AW57" s="52">
        <v>1</v>
      </c>
      <c r="AX57" s="52" t="s">
        <v>334</v>
      </c>
      <c r="AY57" s="70"/>
      <c r="AZ57" s="193" t="s">
        <v>1629</v>
      </c>
      <c r="BA57" s="47">
        <v>0</v>
      </c>
      <c r="BB57" s="69">
        <v>1</v>
      </c>
      <c r="BC57" s="69">
        <v>20</v>
      </c>
      <c r="BD57" s="69">
        <v>0</v>
      </c>
      <c r="BE57" s="69">
        <v>0</v>
      </c>
      <c r="BF57" s="234">
        <v>0</v>
      </c>
      <c r="BG57" s="766">
        <v>1</v>
      </c>
      <c r="BH57" s="766" t="s">
        <v>2004</v>
      </c>
      <c r="BI57" s="223">
        <v>1</v>
      </c>
      <c r="BJ57" s="70"/>
      <c r="BK57" s="70">
        <v>1</v>
      </c>
      <c r="BL57" s="70" t="s">
        <v>1630</v>
      </c>
      <c r="BM57" s="70">
        <v>0</v>
      </c>
      <c r="BN57" s="70"/>
      <c r="BO57" s="70">
        <v>0</v>
      </c>
      <c r="BP57" s="70">
        <v>0</v>
      </c>
      <c r="BQ57" s="70">
        <v>0</v>
      </c>
      <c r="BR57" s="70">
        <v>0</v>
      </c>
      <c r="BS57" s="242">
        <v>0</v>
      </c>
      <c r="BT57" s="223">
        <v>0</v>
      </c>
      <c r="BU57" s="70"/>
      <c r="BV57" s="70">
        <v>0</v>
      </c>
      <c r="BW57" s="70">
        <v>0</v>
      </c>
      <c r="BX57" s="70">
        <v>0</v>
      </c>
      <c r="BY57" s="70"/>
      <c r="BZ57" s="70"/>
      <c r="CA57" s="70"/>
      <c r="CB57" s="77">
        <v>0</v>
      </c>
      <c r="CC57" s="77">
        <v>0</v>
      </c>
      <c r="CD57" s="77">
        <v>0</v>
      </c>
      <c r="CE57" s="77"/>
      <c r="CF57" s="77"/>
      <c r="CG57" s="70"/>
      <c r="CH57" s="70">
        <v>1</v>
      </c>
      <c r="CI57" s="80" t="s">
        <v>2194</v>
      </c>
      <c r="CJ57" s="70">
        <v>0</v>
      </c>
      <c r="CK57" s="70">
        <v>0</v>
      </c>
      <c r="CL57" s="70">
        <v>0</v>
      </c>
      <c r="CM57" s="47">
        <v>168</v>
      </c>
      <c r="CN57" s="47">
        <v>132</v>
      </c>
      <c r="CP57" s="504">
        <v>27.8</v>
      </c>
      <c r="CQ57" s="504">
        <v>29.6</v>
      </c>
      <c r="CR57" s="54">
        <v>43269</v>
      </c>
      <c r="CS57" s="54">
        <v>43285</v>
      </c>
      <c r="CT57" s="78">
        <v>14</v>
      </c>
      <c r="CU57" s="79">
        <v>44174</v>
      </c>
      <c r="CV57" s="59">
        <v>0</v>
      </c>
      <c r="CW57" s="54"/>
      <c r="CX57" s="59">
        <v>0</v>
      </c>
      <c r="CY57" s="59">
        <v>0</v>
      </c>
      <c r="CZ57" s="59">
        <v>0</v>
      </c>
      <c r="DA57" s="54"/>
      <c r="DB57" s="59">
        <v>0</v>
      </c>
      <c r="DC57" s="54"/>
      <c r="DD57" s="59">
        <v>0</v>
      </c>
      <c r="DE57" s="54"/>
      <c r="DF57" s="59">
        <v>0</v>
      </c>
      <c r="DG57" s="54"/>
      <c r="DH57" s="66"/>
      <c r="DI57" s="70"/>
      <c r="DJ57" s="50"/>
      <c r="DK57" s="50"/>
      <c r="DL57" s="50"/>
      <c r="DM57" s="50"/>
      <c r="DN57" s="50"/>
      <c r="DO57" s="50"/>
      <c r="DP57" s="70"/>
      <c r="DQ57" s="70"/>
      <c r="DR57" s="70"/>
      <c r="DS57" s="70"/>
      <c r="DT57" s="70"/>
      <c r="DU57" s="70"/>
      <c r="DV57" s="70"/>
      <c r="DW57" s="70"/>
      <c r="DX57" s="70"/>
      <c r="DY57" s="70"/>
      <c r="DZ57" s="70"/>
      <c r="EA57" s="70"/>
      <c r="EB57" s="70"/>
      <c r="EC57" s="70"/>
      <c r="ED57" s="70"/>
      <c r="EE57" s="70"/>
      <c r="EF57" s="70"/>
      <c r="EG57" s="70"/>
      <c r="EH57" s="70"/>
      <c r="EI57" s="70"/>
    </row>
    <row r="58" spans="1:139" s="47" customFormat="1" ht="39.75" customHeight="1">
      <c r="A58" s="50">
        <v>101</v>
      </c>
      <c r="B58" s="54">
        <v>43266</v>
      </c>
      <c r="C58" s="55">
        <v>43266.333333333336</v>
      </c>
      <c r="D58" s="56">
        <v>39783311</v>
      </c>
      <c r="E58" s="50" t="s">
        <v>335</v>
      </c>
      <c r="F58" s="47" t="b">
        <v>1</v>
      </c>
      <c r="H58" s="50" t="s">
        <v>113</v>
      </c>
      <c r="I58" s="54">
        <v>20053</v>
      </c>
      <c r="J58" s="50">
        <v>63.597260273972601</v>
      </c>
      <c r="K58" s="181">
        <v>763.0834976988823</v>
      </c>
      <c r="L58" s="50" t="s">
        <v>216</v>
      </c>
      <c r="M58" s="186" t="s">
        <v>336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v>0</v>
      </c>
      <c r="AK58" s="323">
        <f t="shared" si="0"/>
        <v>0</v>
      </c>
      <c r="AL58" s="186"/>
      <c r="AM58" s="58">
        <v>43263</v>
      </c>
      <c r="AN58" s="52" t="s">
        <v>1613</v>
      </c>
      <c r="AO58" s="54">
        <v>43274</v>
      </c>
      <c r="AP58" s="50" t="s">
        <v>152</v>
      </c>
      <c r="AQ58" s="58">
        <v>43228</v>
      </c>
      <c r="AR58" s="52">
        <v>0</v>
      </c>
      <c r="AS58" s="52"/>
      <c r="AT58" s="323">
        <v>0</v>
      </c>
      <c r="AU58" s="52">
        <v>0</v>
      </c>
      <c r="AV58" s="52">
        <v>1</v>
      </c>
      <c r="AW58" s="52">
        <v>1</v>
      </c>
      <c r="AX58" s="52" t="s">
        <v>337</v>
      </c>
      <c r="AY58" s="70"/>
      <c r="AZ58" s="193" t="s">
        <v>1635</v>
      </c>
      <c r="BA58" s="47">
        <v>0</v>
      </c>
      <c r="BB58" s="69">
        <v>1</v>
      </c>
      <c r="BC58" s="69"/>
      <c r="BD58" s="69">
        <v>0</v>
      </c>
      <c r="BE58" s="69">
        <v>0</v>
      </c>
      <c r="BF58" s="234">
        <v>0</v>
      </c>
      <c r="BG58" s="766">
        <v>0</v>
      </c>
      <c r="BH58" s="766"/>
      <c r="BI58" s="223">
        <v>1</v>
      </c>
      <c r="BJ58" s="70"/>
      <c r="BK58" s="70">
        <v>1</v>
      </c>
      <c r="BL58" s="70" t="s">
        <v>1631</v>
      </c>
      <c r="BM58" s="70">
        <v>1</v>
      </c>
      <c r="BN58" s="70" t="s">
        <v>1632</v>
      </c>
      <c r="BO58" s="70">
        <v>1</v>
      </c>
      <c r="BP58" s="70">
        <v>1</v>
      </c>
      <c r="BQ58" s="70">
        <v>0</v>
      </c>
      <c r="BR58" s="70">
        <v>0</v>
      </c>
      <c r="BS58" s="242">
        <v>0</v>
      </c>
      <c r="BT58" s="223">
        <v>0</v>
      </c>
      <c r="BU58" s="70"/>
      <c r="BV58" s="70">
        <v>0</v>
      </c>
      <c r="BW58" s="70">
        <v>0</v>
      </c>
      <c r="BX58" s="70">
        <v>0</v>
      </c>
      <c r="BY58" s="70"/>
      <c r="BZ58" s="70"/>
      <c r="CA58" s="70"/>
      <c r="CB58" s="77">
        <v>0</v>
      </c>
      <c r="CC58" s="77">
        <v>0</v>
      </c>
      <c r="CD58" s="77">
        <v>0</v>
      </c>
      <c r="CE58" s="77"/>
      <c r="CF58" s="77"/>
      <c r="CG58" s="70"/>
      <c r="CH58" s="70">
        <v>0</v>
      </c>
      <c r="CI58" s="70"/>
      <c r="CJ58" s="70">
        <v>0</v>
      </c>
      <c r="CK58" s="70">
        <v>0</v>
      </c>
      <c r="CL58" s="70">
        <v>0</v>
      </c>
      <c r="CM58" s="47">
        <v>124</v>
      </c>
      <c r="CN58" s="47">
        <v>88</v>
      </c>
      <c r="CP58" s="504">
        <v>30.2</v>
      </c>
      <c r="CQ58" s="504">
        <v>28.6</v>
      </c>
      <c r="CR58" s="54">
        <v>43263</v>
      </c>
      <c r="CS58" s="54">
        <v>43274</v>
      </c>
      <c r="CT58" s="78">
        <v>8</v>
      </c>
      <c r="CU58" s="79">
        <v>44167</v>
      </c>
      <c r="CV58" s="59">
        <v>0</v>
      </c>
      <c r="CW58" s="54"/>
      <c r="CX58" s="59">
        <v>0</v>
      </c>
      <c r="CY58" s="59">
        <v>0</v>
      </c>
      <c r="CZ58" s="59">
        <v>0</v>
      </c>
      <c r="DA58" s="54"/>
      <c r="DB58" s="59">
        <v>0</v>
      </c>
      <c r="DC58" s="54"/>
      <c r="DD58" s="59">
        <v>0</v>
      </c>
      <c r="DE58" s="54"/>
      <c r="DF58" s="59">
        <v>0</v>
      </c>
      <c r="DG58" s="54"/>
      <c r="DH58" s="66"/>
      <c r="DI58" s="70"/>
      <c r="DJ58" s="50"/>
      <c r="DK58" s="50"/>
      <c r="DL58" s="50"/>
      <c r="DM58" s="50"/>
      <c r="DN58" s="50"/>
      <c r="DO58" s="50"/>
      <c r="DP58" s="70"/>
      <c r="DQ58" s="70"/>
      <c r="DR58" s="70"/>
      <c r="DS58" s="70"/>
      <c r="DT58" s="70"/>
      <c r="DU58" s="70"/>
      <c r="DV58" s="70"/>
      <c r="DW58" s="70"/>
      <c r="DX58" s="70"/>
      <c r="DY58" s="70"/>
      <c r="DZ58" s="70"/>
      <c r="EA58" s="70"/>
      <c r="EB58" s="70"/>
      <c r="EC58" s="70"/>
      <c r="ED58" s="70"/>
      <c r="EE58" s="70"/>
      <c r="EF58" s="70"/>
      <c r="EG58" s="70"/>
      <c r="EH58" s="70"/>
      <c r="EI58" s="70"/>
    </row>
    <row r="59" spans="1:139" s="47" customFormat="1" ht="39.75" customHeight="1">
      <c r="A59" s="50">
        <v>103</v>
      </c>
      <c r="B59" s="54">
        <v>43263</v>
      </c>
      <c r="C59" s="55">
        <v>43263.65</v>
      </c>
      <c r="D59" s="56" t="s">
        <v>338</v>
      </c>
      <c r="E59" s="50" t="s">
        <v>339</v>
      </c>
      <c r="F59" s="47" t="b">
        <v>1</v>
      </c>
      <c r="H59" s="50" t="s">
        <v>113</v>
      </c>
      <c r="I59" s="54">
        <v>26715</v>
      </c>
      <c r="J59" s="50">
        <v>45.336986301369862</v>
      </c>
      <c r="K59" s="181">
        <v>543.98422090729775</v>
      </c>
      <c r="L59" s="50" t="s">
        <v>191</v>
      </c>
      <c r="M59" s="186" t="s">
        <v>340</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v>0</v>
      </c>
      <c r="AK59" s="323">
        <f t="shared" si="0"/>
        <v>0</v>
      </c>
      <c r="AL59" s="186"/>
      <c r="AM59" s="58">
        <v>43260</v>
      </c>
      <c r="AN59" s="52" t="s">
        <v>1634</v>
      </c>
      <c r="AO59" s="54">
        <v>43291</v>
      </c>
      <c r="AP59" s="50" t="s">
        <v>1633</v>
      </c>
      <c r="AQ59" s="58">
        <v>43258</v>
      </c>
      <c r="AR59" s="52">
        <v>0</v>
      </c>
      <c r="AS59" s="52"/>
      <c r="AT59" s="323">
        <v>0</v>
      </c>
      <c r="AU59" s="52">
        <v>0</v>
      </c>
      <c r="AV59" s="52">
        <v>0</v>
      </c>
      <c r="AW59" s="52">
        <v>1</v>
      </c>
      <c r="AX59" s="52" t="s">
        <v>341</v>
      </c>
      <c r="AY59" s="70"/>
      <c r="AZ59" s="193" t="s">
        <v>1635</v>
      </c>
      <c r="BA59" s="47">
        <v>0</v>
      </c>
      <c r="BB59" s="69">
        <v>1</v>
      </c>
      <c r="BC59" s="69"/>
      <c r="BD59" s="69">
        <v>1</v>
      </c>
      <c r="BE59" s="69">
        <v>0</v>
      </c>
      <c r="BF59" s="234">
        <v>0</v>
      </c>
      <c r="BG59" s="766">
        <v>0</v>
      </c>
      <c r="BH59" s="766"/>
      <c r="BI59" s="223">
        <v>0</v>
      </c>
      <c r="BJ59" s="70"/>
      <c r="BK59" s="70">
        <v>0</v>
      </c>
      <c r="BL59" s="70"/>
      <c r="BM59" s="70">
        <v>0</v>
      </c>
      <c r="BN59" s="70"/>
      <c r="BO59" s="70">
        <v>0</v>
      </c>
      <c r="BP59" s="70">
        <v>0</v>
      </c>
      <c r="BQ59" s="70">
        <v>0</v>
      </c>
      <c r="BR59" s="70">
        <v>0</v>
      </c>
      <c r="BS59" s="240">
        <v>0</v>
      </c>
      <c r="BT59" s="223">
        <v>1</v>
      </c>
      <c r="BU59" s="70" t="s">
        <v>1636</v>
      </c>
      <c r="BV59" s="70">
        <v>0</v>
      </c>
      <c r="BW59" s="70">
        <v>0</v>
      </c>
      <c r="BX59" s="70">
        <v>0</v>
      </c>
      <c r="BY59" s="70"/>
      <c r="BZ59" s="70"/>
      <c r="CA59" s="70"/>
      <c r="CB59" s="70">
        <v>0</v>
      </c>
      <c r="CC59" s="70">
        <v>0</v>
      </c>
      <c r="CD59" s="70">
        <v>0</v>
      </c>
      <c r="CE59" s="70"/>
      <c r="CF59" s="70"/>
      <c r="CG59" s="70"/>
      <c r="CH59" s="70">
        <v>1</v>
      </c>
      <c r="CI59" s="80"/>
      <c r="CJ59" s="70">
        <v>1</v>
      </c>
      <c r="CK59" s="70">
        <v>0</v>
      </c>
      <c r="CL59" s="70">
        <v>0</v>
      </c>
      <c r="CM59" s="47">
        <v>123</v>
      </c>
      <c r="CN59" s="47">
        <v>88</v>
      </c>
      <c r="CP59" s="504">
        <v>29.9</v>
      </c>
      <c r="CQ59" s="504">
        <v>31.7</v>
      </c>
      <c r="CR59" s="54">
        <v>43261</v>
      </c>
      <c r="CS59" s="54">
        <v>43285</v>
      </c>
      <c r="CT59" s="78">
        <v>22</v>
      </c>
      <c r="CU59" s="79">
        <v>44277</v>
      </c>
      <c r="CV59" s="59">
        <v>0</v>
      </c>
      <c r="CW59" s="54"/>
      <c r="CX59" s="59">
        <v>0</v>
      </c>
      <c r="CY59" s="59">
        <v>0</v>
      </c>
      <c r="CZ59" s="59">
        <v>0</v>
      </c>
      <c r="DA59" s="54"/>
      <c r="DB59" s="59">
        <v>0</v>
      </c>
      <c r="DC59" s="54"/>
      <c r="DD59" s="59">
        <v>0</v>
      </c>
      <c r="DE59" s="54"/>
      <c r="DF59" s="59">
        <v>0</v>
      </c>
      <c r="DG59" s="54"/>
      <c r="DH59" s="54"/>
      <c r="DI59" s="70"/>
      <c r="DJ59" s="50"/>
      <c r="DK59" s="50"/>
      <c r="DL59" s="50"/>
      <c r="DM59" s="50"/>
      <c r="DN59" s="50"/>
      <c r="DO59" s="50"/>
      <c r="DP59" s="70"/>
      <c r="DQ59" s="70"/>
      <c r="DR59" s="70"/>
      <c r="DS59" s="70"/>
      <c r="DT59" s="70"/>
      <c r="DU59" s="70"/>
      <c r="DV59" s="70"/>
      <c r="DW59" s="70"/>
      <c r="DX59" s="70"/>
      <c r="DY59" s="70"/>
      <c r="DZ59" s="70"/>
      <c r="EA59" s="70"/>
      <c r="EB59" s="70"/>
      <c r="EC59" s="70"/>
      <c r="ED59" s="70"/>
      <c r="EE59" s="70"/>
      <c r="EF59" s="70"/>
      <c r="EG59" s="70"/>
      <c r="EH59" s="70"/>
      <c r="EI59" s="70"/>
    </row>
    <row r="60" spans="1:139" s="47" customFormat="1" ht="39.75" customHeight="1">
      <c r="A60" s="50">
        <v>104</v>
      </c>
      <c r="B60" s="54">
        <v>43259</v>
      </c>
      <c r="C60" s="55">
        <v>43259.870833333334</v>
      </c>
      <c r="D60" s="56">
        <v>18699846</v>
      </c>
      <c r="E60" s="50" t="s">
        <v>342</v>
      </c>
      <c r="F60" s="47" t="b">
        <v>1</v>
      </c>
      <c r="H60" s="50" t="s">
        <v>113</v>
      </c>
      <c r="I60" s="54">
        <v>19645</v>
      </c>
      <c r="J60" s="50">
        <v>64.69589041095891</v>
      </c>
      <c r="K60" s="181">
        <v>776.26561472715309</v>
      </c>
      <c r="L60" s="50" t="s">
        <v>191</v>
      </c>
      <c r="M60" s="186" t="s">
        <v>343</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v>0</v>
      </c>
      <c r="AK60" s="323">
        <f t="shared" si="0"/>
        <v>0</v>
      </c>
      <c r="AL60" s="186"/>
      <c r="AM60" s="58">
        <v>43250</v>
      </c>
      <c r="AN60" s="52" t="s">
        <v>1638</v>
      </c>
      <c r="AO60" s="54">
        <v>43322</v>
      </c>
      <c r="AP60" s="50" t="s">
        <v>1637</v>
      </c>
      <c r="AQ60" s="58">
        <v>43248</v>
      </c>
      <c r="AR60" s="52">
        <v>1</v>
      </c>
      <c r="AS60" s="52" t="s">
        <v>1620</v>
      </c>
      <c r="AT60" s="323">
        <v>0</v>
      </c>
      <c r="AU60" s="52">
        <v>0</v>
      </c>
      <c r="AV60" s="52">
        <v>0</v>
      </c>
      <c r="AW60" s="52">
        <v>1</v>
      </c>
      <c r="AX60" s="52" t="s">
        <v>344</v>
      </c>
      <c r="AY60" s="70"/>
      <c r="AZ60" s="193"/>
      <c r="BA60" s="47">
        <v>0</v>
      </c>
      <c r="BB60" s="69">
        <v>1</v>
      </c>
      <c r="BC60" s="69"/>
      <c r="BD60" s="69">
        <v>1</v>
      </c>
      <c r="BE60" s="69">
        <v>0</v>
      </c>
      <c r="BF60" s="234">
        <v>0</v>
      </c>
      <c r="BG60" s="766">
        <v>0</v>
      </c>
      <c r="BH60" s="766"/>
      <c r="BI60" s="223">
        <v>0</v>
      </c>
      <c r="BJ60" s="70"/>
      <c r="BK60" s="70">
        <v>0</v>
      </c>
      <c r="BL60" s="70"/>
      <c r="BM60" s="70">
        <v>0</v>
      </c>
      <c r="BN60" s="70"/>
      <c r="BO60" s="70">
        <v>0</v>
      </c>
      <c r="BP60" s="70">
        <v>0</v>
      </c>
      <c r="BQ60" s="70">
        <v>0</v>
      </c>
      <c r="BR60" s="70">
        <v>0</v>
      </c>
      <c r="BS60" s="240">
        <v>0</v>
      </c>
      <c r="BT60" s="223">
        <v>1</v>
      </c>
      <c r="BU60" s="70" t="s">
        <v>1639</v>
      </c>
      <c r="BV60" s="70">
        <v>0</v>
      </c>
      <c r="BW60" s="70">
        <v>1</v>
      </c>
      <c r="BX60" s="70">
        <v>1</v>
      </c>
      <c r="BY60" s="70"/>
      <c r="BZ60" s="70"/>
      <c r="CA60" s="70" t="s">
        <v>1640</v>
      </c>
      <c r="CB60" s="70">
        <v>0</v>
      </c>
      <c r="CC60" s="70">
        <v>0</v>
      </c>
      <c r="CD60" s="70">
        <v>0</v>
      </c>
      <c r="CE60" s="70"/>
      <c r="CF60" s="70"/>
      <c r="CG60" s="70"/>
      <c r="CH60" s="70">
        <v>0</v>
      </c>
      <c r="CI60" s="70"/>
      <c r="CJ60" s="70">
        <v>0</v>
      </c>
      <c r="CK60" s="70">
        <v>0</v>
      </c>
      <c r="CL60" s="70">
        <v>0</v>
      </c>
      <c r="CM60" s="47">
        <v>140</v>
      </c>
      <c r="CN60" s="47">
        <v>116</v>
      </c>
      <c r="CP60" s="504">
        <v>29.5</v>
      </c>
      <c r="CQ60" s="504">
        <v>30.8</v>
      </c>
      <c r="CR60" s="54">
        <v>43250</v>
      </c>
      <c r="CS60" s="54">
        <v>43333</v>
      </c>
      <c r="CT60" s="78">
        <v>74</v>
      </c>
      <c r="CU60" s="79">
        <v>43522</v>
      </c>
      <c r="CV60" s="59">
        <v>0</v>
      </c>
      <c r="CW60" s="54"/>
      <c r="CX60" s="59">
        <v>0</v>
      </c>
      <c r="CY60" s="59">
        <v>0</v>
      </c>
      <c r="CZ60" s="59">
        <v>0</v>
      </c>
      <c r="DA60" s="54"/>
      <c r="DB60" s="59">
        <v>0</v>
      </c>
      <c r="DC60" s="54"/>
      <c r="DD60" s="59">
        <v>0</v>
      </c>
      <c r="DE60" s="54"/>
      <c r="DF60" s="59">
        <v>0</v>
      </c>
      <c r="DG60" s="54"/>
      <c r="DH60" s="54"/>
      <c r="DI60" s="70"/>
      <c r="DJ60" s="50"/>
      <c r="DK60" s="50"/>
      <c r="DL60" s="50"/>
      <c r="DM60" s="50"/>
      <c r="DN60" s="50"/>
      <c r="DO60" s="50"/>
      <c r="DP60" s="70"/>
      <c r="DQ60" s="70"/>
      <c r="DR60" s="70"/>
      <c r="DS60" s="70"/>
      <c r="DT60" s="70"/>
      <c r="DU60" s="70"/>
      <c r="DV60" s="70"/>
      <c r="DW60" s="70"/>
      <c r="DX60" s="70"/>
      <c r="DY60" s="70"/>
      <c r="DZ60" s="70"/>
      <c r="EA60" s="70"/>
      <c r="EB60" s="70"/>
      <c r="EC60" s="70"/>
      <c r="ED60" s="70"/>
      <c r="EE60" s="70"/>
      <c r="EF60" s="70"/>
      <c r="EG60" s="70"/>
      <c r="EH60" s="70"/>
      <c r="EI60" s="70"/>
    </row>
    <row r="61" spans="1:139" s="48" customFormat="1" ht="39.75" customHeight="1">
      <c r="A61" s="60">
        <v>107</v>
      </c>
      <c r="B61" s="61">
        <v>43243</v>
      </c>
      <c r="C61" s="62">
        <v>43243.305555555555</v>
      </c>
      <c r="D61" s="63">
        <v>24149333</v>
      </c>
      <c r="E61" s="60" t="s">
        <v>345</v>
      </c>
      <c r="F61" s="48" t="b">
        <v>0</v>
      </c>
      <c r="G61" s="48" t="s">
        <v>1597</v>
      </c>
      <c r="H61" s="60" t="s">
        <v>129</v>
      </c>
      <c r="I61" s="61">
        <v>21716</v>
      </c>
      <c r="J61" s="60">
        <v>58.978082191780821</v>
      </c>
      <c r="K61" s="85">
        <v>707.65943458251149</v>
      </c>
      <c r="L61" s="60" t="s">
        <v>114</v>
      </c>
      <c r="M61" s="187" t="s">
        <v>346</v>
      </c>
      <c r="N61" s="48">
        <v>157</v>
      </c>
      <c r="O61" s="48">
        <v>49.8</v>
      </c>
      <c r="P61" s="48">
        <f t="shared" si="1"/>
        <v>20.20365937766238</v>
      </c>
      <c r="Q61" s="191"/>
      <c r="V61" s="51"/>
      <c r="Y61" s="216"/>
      <c r="Z61" s="336"/>
      <c r="AA61" s="324"/>
      <c r="AB61" s="324"/>
      <c r="AC61" s="324"/>
      <c r="AD61" s="324"/>
      <c r="AE61" s="324"/>
      <c r="AF61" s="324"/>
      <c r="AG61" s="324"/>
      <c r="AH61" s="324"/>
      <c r="AI61" s="324"/>
      <c r="AJ61" s="324"/>
      <c r="AK61" s="324">
        <f t="shared" si="0"/>
        <v>0</v>
      </c>
      <c r="AL61" s="187"/>
      <c r="AM61" s="191"/>
      <c r="AN61" s="51"/>
      <c r="AO61" s="61"/>
      <c r="AP61" s="60"/>
      <c r="AQ61" s="191"/>
      <c r="AR61" s="51"/>
      <c r="AS61" s="51"/>
      <c r="AT61" s="324"/>
      <c r="AU61" s="51"/>
      <c r="AV61" s="51"/>
      <c r="AW61" s="51"/>
      <c r="AX61" s="51" t="s">
        <v>347</v>
      </c>
      <c r="AY61" s="71"/>
      <c r="AZ61" s="91">
        <v>1</v>
      </c>
      <c r="BB61" s="82"/>
      <c r="BC61" s="82"/>
      <c r="BD61" s="82"/>
      <c r="BE61" s="82"/>
      <c r="BF61" s="235"/>
      <c r="BG61" s="767"/>
      <c r="BH61" s="767"/>
      <c r="BI61" s="224"/>
      <c r="BJ61" s="71"/>
      <c r="BK61" s="71"/>
      <c r="BL61" s="71"/>
      <c r="BM61" s="71"/>
      <c r="BN61" s="71"/>
      <c r="BO61" s="71"/>
      <c r="BP61" s="71"/>
      <c r="BQ61" s="71"/>
      <c r="BR61" s="71"/>
      <c r="BS61" s="241"/>
      <c r="BT61" s="224" t="s">
        <v>174</v>
      </c>
      <c r="BU61" s="71"/>
      <c r="BV61" s="71"/>
      <c r="BW61" s="71"/>
      <c r="BX61" s="71"/>
      <c r="BY61" s="71"/>
      <c r="BZ61" s="71"/>
      <c r="CA61" s="71"/>
      <c r="CB61" s="71"/>
      <c r="CC61" s="71"/>
      <c r="CD61" s="71"/>
      <c r="CE61" s="71"/>
      <c r="CF61" s="71"/>
      <c r="CG61" s="71"/>
      <c r="CH61" s="71"/>
      <c r="CI61" s="71"/>
      <c r="CJ61" s="71"/>
      <c r="CK61" s="71"/>
      <c r="CL61" s="71" t="s">
        <v>209</v>
      </c>
      <c r="CM61" s="48">
        <v>463</v>
      </c>
      <c r="CN61" s="48">
        <v>121</v>
      </c>
      <c r="CO61" s="48">
        <v>4</v>
      </c>
      <c r="CP61" s="505">
        <v>15.1</v>
      </c>
      <c r="CQ61" s="505">
        <v>19</v>
      </c>
      <c r="CR61" s="61">
        <v>43238</v>
      </c>
      <c r="CS61" s="61">
        <v>43266</v>
      </c>
      <c r="CT61" s="83">
        <v>23</v>
      </c>
      <c r="CU61" s="84"/>
      <c r="CV61" s="65"/>
      <c r="CW61" s="61"/>
      <c r="CX61" s="65"/>
      <c r="CY61" s="65"/>
      <c r="CZ61" s="65"/>
      <c r="DA61" s="61"/>
      <c r="DB61" s="65"/>
      <c r="DC61" s="61"/>
      <c r="DD61" s="65"/>
      <c r="DE61" s="61"/>
      <c r="DF61" s="65"/>
      <c r="DG61" s="61"/>
      <c r="DH61" s="61"/>
      <c r="DI61" s="71"/>
      <c r="DJ61" s="60"/>
      <c r="DK61" s="60"/>
      <c r="DL61" s="60"/>
      <c r="DM61" s="60"/>
      <c r="DN61" s="60"/>
      <c r="DO61" s="60"/>
      <c r="DP61" s="71"/>
      <c r="DQ61" s="71"/>
      <c r="DR61" s="71"/>
      <c r="DS61" s="71"/>
      <c r="DT61" s="71"/>
      <c r="DU61" s="71"/>
      <c r="DV61" s="71"/>
      <c r="DW61" s="71"/>
      <c r="DX61" s="71"/>
      <c r="DY61" s="71"/>
      <c r="DZ61" s="71"/>
      <c r="EA61" s="71"/>
      <c r="EB61" s="71"/>
      <c r="EC61" s="71"/>
      <c r="ED61" s="71"/>
      <c r="EE61" s="71"/>
      <c r="EF61" s="71"/>
      <c r="EG61" s="71"/>
      <c r="EH61" s="71"/>
      <c r="EI61" s="71"/>
    </row>
    <row r="62" spans="1:139" s="47" customFormat="1" ht="39.75" customHeight="1">
      <c r="A62" s="50">
        <v>109</v>
      </c>
      <c r="B62" s="54">
        <v>43231</v>
      </c>
      <c r="C62" s="55">
        <v>43231.333333333336</v>
      </c>
      <c r="D62" s="56">
        <v>39980558</v>
      </c>
      <c r="E62" s="50" t="s">
        <v>348</v>
      </c>
      <c r="F62" s="47" t="b">
        <v>1</v>
      </c>
      <c r="H62" s="50" t="s">
        <v>129</v>
      </c>
      <c r="I62" s="54">
        <v>35442</v>
      </c>
      <c r="J62" s="50">
        <v>21.339726027397262</v>
      </c>
      <c r="K62" s="181">
        <v>256.04865220249832</v>
      </c>
      <c r="L62" s="50" t="s">
        <v>121</v>
      </c>
      <c r="M62" s="186" t="s">
        <v>349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v>0</v>
      </c>
      <c r="AK62" s="323">
        <f t="shared" si="0"/>
        <v>0</v>
      </c>
      <c r="AL62" s="186"/>
      <c r="AM62" s="58">
        <v>43231</v>
      </c>
      <c r="AN62" s="52" t="s">
        <v>1641</v>
      </c>
      <c r="AO62" s="54">
        <v>43273</v>
      </c>
      <c r="AP62" s="50" t="s">
        <v>1642</v>
      </c>
      <c r="AQ62" s="58">
        <v>43225</v>
      </c>
      <c r="AR62" s="52">
        <v>0</v>
      </c>
      <c r="AS62" s="52"/>
      <c r="AT62" s="323">
        <v>0</v>
      </c>
      <c r="AU62" s="52">
        <v>0</v>
      </c>
      <c r="AV62" s="52">
        <v>0</v>
      </c>
      <c r="AW62" s="52">
        <v>1</v>
      </c>
      <c r="AX62" s="50" t="s">
        <v>350</v>
      </c>
      <c r="AY62" s="70"/>
      <c r="AZ62" s="193"/>
      <c r="BA62" s="47">
        <v>0</v>
      </c>
      <c r="BB62" s="69">
        <v>1</v>
      </c>
      <c r="BC62" s="69"/>
      <c r="BD62" s="69">
        <v>0</v>
      </c>
      <c r="BE62" s="69">
        <v>0</v>
      </c>
      <c r="BF62" s="234">
        <v>0</v>
      </c>
      <c r="BG62" s="766">
        <v>0</v>
      </c>
      <c r="BH62" s="766"/>
      <c r="BI62" s="223">
        <v>0</v>
      </c>
      <c r="BJ62" s="70"/>
      <c r="BK62" s="70">
        <v>0</v>
      </c>
      <c r="BL62" s="70"/>
      <c r="BM62" s="70">
        <v>0</v>
      </c>
      <c r="BN62" s="70"/>
      <c r="BO62" s="70">
        <v>0</v>
      </c>
      <c r="BP62" s="70">
        <v>0</v>
      </c>
      <c r="BQ62" s="70">
        <v>0</v>
      </c>
      <c r="BR62" s="70">
        <v>0</v>
      </c>
      <c r="BS62" s="240">
        <v>0</v>
      </c>
      <c r="BT62" s="223">
        <v>1</v>
      </c>
      <c r="BU62" s="70" t="s">
        <v>1643</v>
      </c>
      <c r="BV62" s="70">
        <v>0</v>
      </c>
      <c r="BW62" s="70">
        <v>0</v>
      </c>
      <c r="BX62" s="70">
        <v>0</v>
      </c>
      <c r="BY62" s="70"/>
      <c r="BZ62" s="70"/>
      <c r="CA62" s="70"/>
      <c r="CB62" s="70">
        <v>0</v>
      </c>
      <c r="CC62" s="70">
        <v>0</v>
      </c>
      <c r="CD62" s="70">
        <v>0</v>
      </c>
      <c r="CE62" s="70"/>
      <c r="CF62" s="70"/>
      <c r="CG62" s="70"/>
      <c r="CH62" s="70">
        <v>0</v>
      </c>
      <c r="CI62" s="70"/>
      <c r="CJ62" s="70">
        <v>0</v>
      </c>
      <c r="CK62" s="70">
        <v>0</v>
      </c>
      <c r="CL62" s="70">
        <v>0</v>
      </c>
      <c r="CM62" s="47">
        <v>126</v>
      </c>
      <c r="CN62" s="47">
        <v>110</v>
      </c>
      <c r="CP62" s="504">
        <v>30.4</v>
      </c>
      <c r="CQ62" s="504">
        <v>32</v>
      </c>
      <c r="CR62" s="54">
        <v>43229</v>
      </c>
      <c r="CS62" s="54">
        <v>43237</v>
      </c>
      <c r="CT62" s="78">
        <v>6</v>
      </c>
      <c r="CU62" s="79">
        <v>44249</v>
      </c>
      <c r="CV62" s="59">
        <v>0</v>
      </c>
      <c r="CW62" s="54"/>
      <c r="CX62" s="59">
        <v>0</v>
      </c>
      <c r="CY62" s="59">
        <v>0</v>
      </c>
      <c r="CZ62" s="59">
        <v>0</v>
      </c>
      <c r="DA62" s="54"/>
      <c r="DB62" s="59">
        <v>0</v>
      </c>
      <c r="DC62" s="54"/>
      <c r="DD62" s="59">
        <v>0</v>
      </c>
      <c r="DE62" s="54"/>
      <c r="DF62" s="59">
        <v>0</v>
      </c>
      <c r="DG62" s="54"/>
      <c r="DH62" s="54"/>
      <c r="DI62" s="70"/>
      <c r="DJ62" s="50"/>
      <c r="DK62" s="50"/>
      <c r="DL62" s="50"/>
      <c r="DM62" s="50"/>
      <c r="DN62" s="50"/>
      <c r="DO62" s="50"/>
      <c r="DP62" s="70"/>
      <c r="DQ62" s="70"/>
      <c r="DR62" s="70"/>
      <c r="DS62" s="70"/>
      <c r="DT62" s="70"/>
      <c r="DU62" s="70"/>
      <c r="DV62" s="70"/>
      <c r="DW62" s="70"/>
      <c r="DX62" s="70"/>
      <c r="DY62" s="70"/>
      <c r="DZ62" s="70"/>
      <c r="EA62" s="70"/>
      <c r="EB62" s="70"/>
      <c r="EC62" s="70"/>
      <c r="ED62" s="70"/>
      <c r="EE62" s="70"/>
      <c r="EF62" s="70"/>
      <c r="EG62" s="70"/>
      <c r="EH62" s="70"/>
      <c r="EI62" s="70"/>
    </row>
    <row r="63" spans="1:139" s="47" customFormat="1" ht="39.75" customHeight="1">
      <c r="A63" s="50">
        <v>110</v>
      </c>
      <c r="B63" s="54">
        <v>43229</v>
      </c>
      <c r="C63" s="55">
        <v>43229.301388888889</v>
      </c>
      <c r="D63" s="56">
        <v>39965733</v>
      </c>
      <c r="E63" s="50" t="s">
        <v>351</v>
      </c>
      <c r="F63" s="47" t="b">
        <v>1</v>
      </c>
      <c r="H63" s="50" t="s">
        <v>129</v>
      </c>
      <c r="I63" s="54">
        <v>24390</v>
      </c>
      <c r="J63" s="50">
        <v>51.613698630136987</v>
      </c>
      <c r="K63" s="181">
        <v>619.29651545036154</v>
      </c>
      <c r="L63" s="50" t="s">
        <v>114</v>
      </c>
      <c r="M63" s="186" t="s">
        <v>352</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v>0</v>
      </c>
      <c r="AK63" s="323">
        <f t="shared" si="0"/>
        <v>0</v>
      </c>
      <c r="AL63" s="186"/>
      <c r="AM63" s="58">
        <v>43227</v>
      </c>
      <c r="AN63" s="52" t="s">
        <v>1644</v>
      </c>
      <c r="AO63" s="54">
        <v>43241</v>
      </c>
      <c r="AP63" s="50" t="s">
        <v>223</v>
      </c>
      <c r="AQ63" s="58"/>
      <c r="AR63" s="52">
        <v>1</v>
      </c>
      <c r="AS63" s="52" t="s">
        <v>353</v>
      </c>
      <c r="AT63" s="323">
        <v>0</v>
      </c>
      <c r="AU63" s="52">
        <v>0</v>
      </c>
      <c r="AV63" s="52">
        <v>0</v>
      </c>
      <c r="AW63" s="52">
        <v>1</v>
      </c>
      <c r="AX63" s="52" t="s">
        <v>354</v>
      </c>
      <c r="AY63" s="70" t="s">
        <v>1596</v>
      </c>
      <c r="AZ63" s="193"/>
      <c r="BA63" s="47">
        <v>0</v>
      </c>
      <c r="BB63" s="69">
        <v>1</v>
      </c>
      <c r="BC63" s="69"/>
      <c r="BD63" s="69">
        <v>0</v>
      </c>
      <c r="BE63" s="69">
        <v>0</v>
      </c>
      <c r="BF63" s="234">
        <v>0</v>
      </c>
      <c r="BG63" s="766">
        <v>0</v>
      </c>
      <c r="BH63" s="766"/>
      <c r="BI63" s="223">
        <v>0</v>
      </c>
      <c r="BJ63" s="70"/>
      <c r="BK63" s="70">
        <v>0</v>
      </c>
      <c r="BL63" s="70"/>
      <c r="BM63" s="70">
        <v>0</v>
      </c>
      <c r="BN63" s="70"/>
      <c r="BO63" s="70">
        <v>0</v>
      </c>
      <c r="BP63" s="70">
        <v>0</v>
      </c>
      <c r="BQ63" s="70">
        <v>0</v>
      </c>
      <c r="BR63" s="70">
        <v>0</v>
      </c>
      <c r="BS63" s="240">
        <v>0</v>
      </c>
      <c r="BT63" s="223">
        <v>1</v>
      </c>
      <c r="BU63" s="70" t="s">
        <v>1645</v>
      </c>
      <c r="BV63" s="70">
        <v>0</v>
      </c>
      <c r="BW63" s="70">
        <v>1</v>
      </c>
      <c r="BX63" s="70">
        <v>0</v>
      </c>
      <c r="BY63" s="70"/>
      <c r="BZ63" s="70"/>
      <c r="CA63" s="70" t="s">
        <v>1646</v>
      </c>
      <c r="CB63" s="77">
        <v>0</v>
      </c>
      <c r="CC63" s="77">
        <v>1</v>
      </c>
      <c r="CD63" s="77">
        <v>0</v>
      </c>
      <c r="CE63" s="77"/>
      <c r="CF63" s="77"/>
      <c r="CG63" s="70" t="s">
        <v>1647</v>
      </c>
      <c r="CH63" s="70">
        <v>1</v>
      </c>
      <c r="CI63" s="80"/>
      <c r="CJ63" s="70">
        <v>0</v>
      </c>
      <c r="CK63" s="70">
        <v>1</v>
      </c>
      <c r="CL63" s="70">
        <v>0</v>
      </c>
      <c r="CM63" s="47">
        <v>164</v>
      </c>
      <c r="CN63" s="47">
        <v>139</v>
      </c>
      <c r="CP63" s="504">
        <v>26.2</v>
      </c>
      <c r="CQ63" s="504">
        <v>29</v>
      </c>
      <c r="CR63" s="54">
        <v>43227</v>
      </c>
      <c r="CS63" s="54">
        <v>43245</v>
      </c>
      <c r="CT63" s="78">
        <v>16</v>
      </c>
      <c r="CU63" s="79">
        <v>44209</v>
      </c>
      <c r="CV63" s="59">
        <v>0</v>
      </c>
      <c r="CW63" s="54"/>
      <c r="CX63" s="59">
        <v>0</v>
      </c>
      <c r="CY63" s="59">
        <v>0</v>
      </c>
      <c r="CZ63" s="59">
        <v>0</v>
      </c>
      <c r="DA63" s="54"/>
      <c r="DB63" s="59">
        <v>0</v>
      </c>
      <c r="DC63" s="54"/>
      <c r="DD63" s="59">
        <v>0</v>
      </c>
      <c r="DE63" s="54"/>
      <c r="DF63" s="59">
        <v>0</v>
      </c>
      <c r="DG63" s="54"/>
      <c r="DH63" s="66"/>
      <c r="DI63" s="70"/>
      <c r="DJ63" s="50"/>
      <c r="DK63" s="50"/>
      <c r="DL63" s="50"/>
      <c r="DM63" s="50"/>
      <c r="DN63" s="50"/>
      <c r="DO63" s="50"/>
      <c r="DP63" s="70"/>
      <c r="DQ63" s="70"/>
      <c r="DR63" s="70"/>
      <c r="DS63" s="70"/>
      <c r="DT63" s="70"/>
      <c r="DU63" s="70"/>
      <c r="DV63" s="70"/>
      <c r="DW63" s="70"/>
      <c r="DX63" s="70"/>
      <c r="DY63" s="70"/>
      <c r="DZ63" s="70"/>
      <c r="EA63" s="70"/>
      <c r="EB63" s="70"/>
      <c r="EC63" s="70"/>
      <c r="ED63" s="70"/>
      <c r="EE63" s="70"/>
      <c r="EF63" s="70"/>
      <c r="EG63" s="70"/>
      <c r="EH63" s="70"/>
      <c r="EI63" s="70"/>
    </row>
    <row r="64" spans="1:139" s="47" customFormat="1" ht="39.75" customHeight="1">
      <c r="A64" s="50">
        <v>115</v>
      </c>
      <c r="B64" s="54">
        <v>43203</v>
      </c>
      <c r="C64" s="55">
        <v>43203.761111111111</v>
      </c>
      <c r="D64" s="56">
        <v>39816282</v>
      </c>
      <c r="E64" s="50" t="s">
        <v>355</v>
      </c>
      <c r="F64" s="47" t="b">
        <v>1</v>
      </c>
      <c r="H64" s="50" t="s">
        <v>129</v>
      </c>
      <c r="I64" s="54">
        <v>18366</v>
      </c>
      <c r="J64" s="50">
        <v>68.046575342465758</v>
      </c>
      <c r="K64" s="181">
        <v>816.46942800788952</v>
      </c>
      <c r="L64" s="50" t="s">
        <v>114</v>
      </c>
      <c r="M64" s="186" t="s">
        <v>356</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v>0</v>
      </c>
      <c r="AK64" s="323">
        <f t="shared" si="0"/>
        <v>0</v>
      </c>
      <c r="AL64" s="186"/>
      <c r="AM64" s="58">
        <v>43200</v>
      </c>
      <c r="AN64" s="52" t="s">
        <v>1648</v>
      </c>
      <c r="AO64" s="54">
        <v>43241</v>
      </c>
      <c r="AP64" s="50" t="s">
        <v>1649</v>
      </c>
      <c r="AQ64" s="58">
        <v>43191</v>
      </c>
      <c r="AR64" s="52">
        <v>1</v>
      </c>
      <c r="AS64" s="52" t="s">
        <v>1650</v>
      </c>
      <c r="AT64" s="323">
        <v>0</v>
      </c>
      <c r="AU64" s="52">
        <v>0</v>
      </c>
      <c r="AV64" s="52">
        <v>0</v>
      </c>
      <c r="AW64" s="52">
        <v>1</v>
      </c>
      <c r="AX64" s="52" t="s">
        <v>357</v>
      </c>
      <c r="AY64" s="70"/>
      <c r="AZ64" s="193" t="s">
        <v>1651</v>
      </c>
      <c r="BA64" s="47">
        <v>0</v>
      </c>
      <c r="BB64" s="69">
        <v>1</v>
      </c>
      <c r="BC64" s="69"/>
      <c r="BD64" s="69">
        <v>0</v>
      </c>
      <c r="BE64" s="69">
        <v>0</v>
      </c>
      <c r="BF64" s="234">
        <v>0</v>
      </c>
      <c r="BG64" s="766">
        <v>1</v>
      </c>
      <c r="BH64" s="766" t="s">
        <v>2004</v>
      </c>
      <c r="BI64" s="223">
        <v>0</v>
      </c>
      <c r="BJ64" s="70"/>
      <c r="BK64" s="70">
        <v>0</v>
      </c>
      <c r="BL64" s="70"/>
      <c r="BM64" s="70">
        <v>0</v>
      </c>
      <c r="BN64" s="70"/>
      <c r="BO64" s="70">
        <v>0</v>
      </c>
      <c r="BP64" s="70">
        <v>0</v>
      </c>
      <c r="BQ64" s="70">
        <v>0</v>
      </c>
      <c r="BR64" s="70">
        <v>0</v>
      </c>
      <c r="BS64" s="240">
        <v>0</v>
      </c>
      <c r="BT64" s="223">
        <v>1</v>
      </c>
      <c r="BU64" s="70" t="s">
        <v>1652</v>
      </c>
      <c r="BV64" s="70">
        <v>0</v>
      </c>
      <c r="BW64" s="70">
        <v>0</v>
      </c>
      <c r="BX64" s="70">
        <v>0</v>
      </c>
      <c r="BY64" s="70"/>
      <c r="BZ64" s="70"/>
      <c r="CA64" s="70"/>
      <c r="CB64" s="70">
        <v>0</v>
      </c>
      <c r="CC64" s="70">
        <v>0</v>
      </c>
      <c r="CD64" s="70">
        <v>0</v>
      </c>
      <c r="CE64" s="70"/>
      <c r="CF64" s="70"/>
      <c r="CG64" s="70"/>
      <c r="CH64" s="70">
        <v>0</v>
      </c>
      <c r="CI64" s="70"/>
      <c r="CJ64" s="70">
        <v>0</v>
      </c>
      <c r="CK64" s="70">
        <v>0</v>
      </c>
      <c r="CL64" s="70">
        <v>0</v>
      </c>
      <c r="CM64" s="47">
        <v>112</v>
      </c>
      <c r="CN64" s="47">
        <v>87</v>
      </c>
      <c r="CP64" s="504">
        <v>29.2</v>
      </c>
      <c r="CQ64" s="504">
        <v>31.1</v>
      </c>
      <c r="CR64" s="54">
        <v>43200</v>
      </c>
      <c r="CS64" s="54">
        <v>43218</v>
      </c>
      <c r="CT64" s="78">
        <v>15</v>
      </c>
      <c r="CU64" s="79">
        <v>43196</v>
      </c>
      <c r="CV64" s="59">
        <v>0</v>
      </c>
      <c r="CW64" s="54"/>
      <c r="CX64" s="59">
        <v>0</v>
      </c>
      <c r="CY64" s="59">
        <v>0</v>
      </c>
      <c r="CZ64" s="59">
        <v>0</v>
      </c>
      <c r="DA64" s="54"/>
      <c r="DB64" s="59">
        <v>0</v>
      </c>
      <c r="DC64" s="54"/>
      <c r="DD64" s="59">
        <v>0</v>
      </c>
      <c r="DE64" s="54"/>
      <c r="DF64" s="59">
        <v>0</v>
      </c>
      <c r="DG64" s="54"/>
      <c r="DH64" s="54"/>
      <c r="DI64" s="70"/>
      <c r="DJ64" s="50"/>
      <c r="DK64" s="50"/>
      <c r="DL64" s="50"/>
      <c r="DM64" s="50"/>
      <c r="DN64" s="50"/>
      <c r="DO64" s="50"/>
      <c r="DP64" s="70"/>
      <c r="DQ64" s="70"/>
      <c r="DR64" s="70"/>
      <c r="DS64" s="70"/>
      <c r="DT64" s="70"/>
      <c r="DU64" s="70"/>
      <c r="DV64" s="70"/>
      <c r="DW64" s="70"/>
      <c r="DX64" s="70"/>
      <c r="DY64" s="70"/>
      <c r="DZ64" s="70"/>
      <c r="EA64" s="70"/>
      <c r="EB64" s="70"/>
      <c r="EC64" s="70"/>
      <c r="ED64" s="70"/>
      <c r="EE64" s="70"/>
      <c r="EF64" s="70"/>
      <c r="EG64" s="70"/>
      <c r="EH64" s="70"/>
      <c r="EI64" s="70"/>
    </row>
    <row r="65" spans="1:139" s="47" customFormat="1" ht="39.75" customHeight="1">
      <c r="A65" s="50">
        <v>116</v>
      </c>
      <c r="B65" s="54">
        <v>43200</v>
      </c>
      <c r="C65" s="55">
        <v>43200.713888888888</v>
      </c>
      <c r="D65" s="56">
        <v>39246067</v>
      </c>
      <c r="E65" s="50" t="s">
        <v>358</v>
      </c>
      <c r="F65" s="47" t="b">
        <v>1</v>
      </c>
      <c r="H65" s="50" t="s">
        <v>113</v>
      </c>
      <c r="I65" s="54">
        <v>24799</v>
      </c>
      <c r="J65" s="50">
        <v>50.413698630136984</v>
      </c>
      <c r="K65" s="181">
        <v>604.89809335963184</v>
      </c>
      <c r="L65" s="50" t="s">
        <v>125</v>
      </c>
      <c r="M65" s="186" t="s">
        <v>359</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v>0</v>
      </c>
      <c r="AK65" s="323">
        <f t="shared" si="0"/>
        <v>0</v>
      </c>
      <c r="AL65" s="186"/>
      <c r="AM65" s="58">
        <v>43186</v>
      </c>
      <c r="AN65" s="52" t="s">
        <v>1653</v>
      </c>
      <c r="AO65" s="54">
        <v>43214</v>
      </c>
      <c r="AP65" s="50" t="s">
        <v>360</v>
      </c>
      <c r="AQ65" s="58">
        <v>43186</v>
      </c>
      <c r="AR65" s="52">
        <v>1</v>
      </c>
      <c r="AS65" s="52" t="s">
        <v>361</v>
      </c>
      <c r="AT65" s="323">
        <v>0</v>
      </c>
      <c r="AU65" s="52">
        <v>0</v>
      </c>
      <c r="AV65" s="52">
        <v>0</v>
      </c>
      <c r="AW65" s="52">
        <v>1</v>
      </c>
      <c r="AX65" s="52" t="s">
        <v>362</v>
      </c>
      <c r="AY65" s="70"/>
      <c r="AZ65" s="193" t="s">
        <v>1654</v>
      </c>
      <c r="BA65" s="47">
        <v>0</v>
      </c>
      <c r="BB65" s="69">
        <v>1</v>
      </c>
      <c r="BC65" s="69"/>
      <c r="BD65" s="69">
        <v>1</v>
      </c>
      <c r="BE65" s="69">
        <v>0</v>
      </c>
      <c r="BF65" s="234">
        <v>0</v>
      </c>
      <c r="BG65" s="766">
        <v>0</v>
      </c>
      <c r="BH65" s="766"/>
      <c r="BI65" s="223">
        <v>1</v>
      </c>
      <c r="BJ65" s="70"/>
      <c r="BK65" s="70">
        <v>1</v>
      </c>
      <c r="BL65" s="70" t="s">
        <v>1655</v>
      </c>
      <c r="BM65" s="80">
        <v>1</v>
      </c>
      <c r="BN65" s="80" t="s">
        <v>1656</v>
      </c>
      <c r="BO65" s="80">
        <v>0</v>
      </c>
      <c r="BP65" s="80">
        <v>0</v>
      </c>
      <c r="BQ65" s="80">
        <v>1</v>
      </c>
      <c r="BR65" s="80">
        <v>0</v>
      </c>
      <c r="BS65" s="240">
        <v>1</v>
      </c>
      <c r="BT65" s="223">
        <v>0</v>
      </c>
      <c r="BU65" s="70"/>
      <c r="BV65" s="70">
        <v>0</v>
      </c>
      <c r="BW65" s="70">
        <v>0</v>
      </c>
      <c r="BX65" s="70">
        <v>0</v>
      </c>
      <c r="BY65" s="70"/>
      <c r="BZ65" s="70"/>
      <c r="CA65" s="70"/>
      <c r="CB65" s="77">
        <v>0</v>
      </c>
      <c r="CC65" s="77">
        <v>0</v>
      </c>
      <c r="CD65" s="77">
        <v>0</v>
      </c>
      <c r="CE65" s="77"/>
      <c r="CF65" s="77" t="s">
        <v>1651</v>
      </c>
      <c r="CG65" s="70"/>
      <c r="CH65" s="70">
        <v>0</v>
      </c>
      <c r="CI65" s="70"/>
      <c r="CJ65" s="70">
        <v>0</v>
      </c>
      <c r="CK65" s="70">
        <v>0</v>
      </c>
      <c r="CL65" s="70">
        <v>0</v>
      </c>
      <c r="CM65" s="47">
        <v>87</v>
      </c>
      <c r="CN65" s="47">
        <v>61</v>
      </c>
      <c r="CP65" s="504">
        <v>30.1</v>
      </c>
      <c r="CQ65" s="504">
        <v>31.8</v>
      </c>
      <c r="CR65" s="54">
        <v>43187</v>
      </c>
      <c r="CS65" s="54">
        <v>43232</v>
      </c>
      <c r="CT65" s="78">
        <v>32</v>
      </c>
      <c r="CU65" s="79">
        <v>44139</v>
      </c>
      <c r="CV65" s="59">
        <v>0</v>
      </c>
      <c r="CW65" s="54"/>
      <c r="CX65" s="59">
        <v>0</v>
      </c>
      <c r="CY65" s="59">
        <v>0</v>
      </c>
      <c r="CZ65" s="59">
        <v>0</v>
      </c>
      <c r="DA65" s="54"/>
      <c r="DB65" s="59">
        <v>0</v>
      </c>
      <c r="DC65" s="54"/>
      <c r="DD65" s="59">
        <v>0</v>
      </c>
      <c r="DE65" s="54"/>
      <c r="DF65" s="59">
        <v>0</v>
      </c>
      <c r="DG65" s="54"/>
      <c r="DH65" s="66"/>
      <c r="DI65" s="70"/>
      <c r="DJ65" s="50"/>
      <c r="DK65" s="50"/>
      <c r="DL65" s="50"/>
      <c r="DM65" s="50"/>
      <c r="DN65" s="50"/>
      <c r="DO65" s="50"/>
      <c r="DP65" s="70"/>
      <c r="DQ65" s="70"/>
      <c r="DR65" s="70"/>
      <c r="DS65" s="70"/>
      <c r="DT65" s="70"/>
      <c r="DU65" s="70"/>
      <c r="DV65" s="70"/>
      <c r="DW65" s="70"/>
      <c r="DX65" s="70"/>
      <c r="DY65" s="70"/>
      <c r="DZ65" s="70"/>
      <c r="EA65" s="70"/>
      <c r="EB65" s="70"/>
      <c r="EC65" s="70"/>
      <c r="ED65" s="70"/>
      <c r="EE65" s="70"/>
      <c r="EF65" s="70"/>
      <c r="EG65" s="70"/>
      <c r="EH65" s="70"/>
      <c r="EI65" s="70"/>
    </row>
    <row r="66" spans="1:139" s="47" customFormat="1" ht="39.75" customHeight="1">
      <c r="A66" s="50">
        <v>119</v>
      </c>
      <c r="B66" s="54">
        <v>43160</v>
      </c>
      <c r="C66" s="55">
        <v>43160.372916666667</v>
      </c>
      <c r="D66" s="56">
        <v>39547287</v>
      </c>
      <c r="E66" s="50" t="s">
        <v>363</v>
      </c>
      <c r="F66" s="47" t="b">
        <v>1</v>
      </c>
      <c r="H66" s="50" t="s">
        <v>113</v>
      </c>
      <c r="I66" s="54">
        <v>26431</v>
      </c>
      <c r="J66" s="50">
        <v>45.832876712328769</v>
      </c>
      <c r="K66" s="181">
        <v>549.93425378040763</v>
      </c>
      <c r="L66" s="50" t="s">
        <v>114</v>
      </c>
      <c r="M66" s="186" t="s">
        <v>364</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v>0</v>
      </c>
      <c r="AK66" s="323">
        <f t="shared" si="0"/>
        <v>0</v>
      </c>
      <c r="AL66" s="186"/>
      <c r="AM66" s="58">
        <v>43157</v>
      </c>
      <c r="AN66" s="52" t="s">
        <v>1657</v>
      </c>
      <c r="AO66" s="54">
        <v>43188</v>
      </c>
      <c r="AP66" s="50" t="s">
        <v>1658</v>
      </c>
      <c r="AQ66" s="58">
        <v>43152</v>
      </c>
      <c r="AR66" s="52">
        <v>1</v>
      </c>
      <c r="AS66" s="52" t="s">
        <v>1659</v>
      </c>
      <c r="AT66" s="323">
        <v>0</v>
      </c>
      <c r="AU66" s="52">
        <v>1</v>
      </c>
      <c r="AV66" s="52">
        <v>0</v>
      </c>
      <c r="AW66" s="52">
        <v>0</v>
      </c>
      <c r="AX66" s="50" t="s">
        <v>365</v>
      </c>
      <c r="AY66" s="70"/>
      <c r="AZ66" s="193" t="s">
        <v>1660</v>
      </c>
      <c r="BA66" s="47">
        <v>0</v>
      </c>
      <c r="BB66" s="69">
        <v>1</v>
      </c>
      <c r="BC66" s="69"/>
      <c r="BD66" s="69">
        <v>0</v>
      </c>
      <c r="BE66" s="69">
        <v>0</v>
      </c>
      <c r="BF66" s="234">
        <v>1</v>
      </c>
      <c r="BG66" s="766">
        <v>0</v>
      </c>
      <c r="BH66" s="766"/>
      <c r="BI66" s="223">
        <v>0</v>
      </c>
      <c r="BJ66" s="70"/>
      <c r="BK66" s="70">
        <v>0</v>
      </c>
      <c r="BL66" s="70"/>
      <c r="BM66" s="70">
        <v>0</v>
      </c>
      <c r="BN66" s="70"/>
      <c r="BO66" s="70">
        <v>0</v>
      </c>
      <c r="BP66" s="70">
        <v>0</v>
      </c>
      <c r="BQ66" s="70">
        <v>0</v>
      </c>
      <c r="BR66" s="70">
        <v>0</v>
      </c>
      <c r="BS66" s="240">
        <v>0</v>
      </c>
      <c r="BT66" s="223">
        <v>1</v>
      </c>
      <c r="BU66" s="70" t="s">
        <v>1661</v>
      </c>
      <c r="BV66" s="70">
        <v>0</v>
      </c>
      <c r="BW66" s="70">
        <v>0</v>
      </c>
      <c r="BX66" s="70">
        <v>0</v>
      </c>
      <c r="BY66" s="70"/>
      <c r="BZ66" s="70"/>
      <c r="CA66" s="70"/>
      <c r="CB66" s="70">
        <v>0</v>
      </c>
      <c r="CC66" s="70">
        <v>0</v>
      </c>
      <c r="CD66" s="70">
        <v>0</v>
      </c>
      <c r="CE66" s="70"/>
      <c r="CF66" s="70"/>
      <c r="CG66" s="70"/>
      <c r="CH66" s="70">
        <v>0</v>
      </c>
      <c r="CI66" s="70"/>
      <c r="CJ66" s="70">
        <v>0</v>
      </c>
      <c r="CK66" s="70">
        <v>0</v>
      </c>
      <c r="CL66" s="70">
        <v>0</v>
      </c>
      <c r="CM66" s="47">
        <v>92</v>
      </c>
      <c r="CN66" s="47">
        <v>70</v>
      </c>
      <c r="CP66" s="504">
        <v>31.6</v>
      </c>
      <c r="CQ66" s="504">
        <v>32.799999999999997</v>
      </c>
      <c r="CR66" s="54">
        <v>43154</v>
      </c>
      <c r="CS66" s="54">
        <v>43172</v>
      </c>
      <c r="CT66" s="78">
        <v>12</v>
      </c>
      <c r="CU66" s="79">
        <v>44279</v>
      </c>
      <c r="CV66" s="59">
        <v>0</v>
      </c>
      <c r="CW66" s="54"/>
      <c r="CX66" s="59">
        <v>0</v>
      </c>
      <c r="CY66" s="59">
        <v>0</v>
      </c>
      <c r="CZ66" s="59">
        <v>0</v>
      </c>
      <c r="DA66" s="54"/>
      <c r="DB66" s="59">
        <v>0</v>
      </c>
      <c r="DC66" s="54"/>
      <c r="DD66" s="59">
        <v>0</v>
      </c>
      <c r="DE66" s="54"/>
      <c r="DF66" s="59">
        <v>0</v>
      </c>
      <c r="DG66" s="54"/>
      <c r="DH66" s="54"/>
      <c r="DI66" s="70"/>
      <c r="DJ66" s="50"/>
      <c r="DK66" s="50"/>
      <c r="DL66" s="50"/>
      <c r="DM66" s="50"/>
      <c r="DN66" s="50"/>
      <c r="DO66" s="50"/>
      <c r="DP66" s="70"/>
      <c r="DQ66" s="70"/>
      <c r="DR66" s="70"/>
      <c r="DS66" s="70"/>
      <c r="DT66" s="70"/>
      <c r="DU66" s="70"/>
      <c r="DV66" s="70"/>
      <c r="DW66" s="70"/>
      <c r="DX66" s="70"/>
      <c r="DY66" s="70"/>
      <c r="DZ66" s="70"/>
      <c r="EA66" s="70"/>
      <c r="EB66" s="70"/>
      <c r="EC66" s="70"/>
      <c r="ED66" s="70"/>
      <c r="EE66" s="70"/>
      <c r="EF66" s="70"/>
      <c r="EG66" s="70"/>
      <c r="EH66" s="70"/>
      <c r="EI66" s="70"/>
    </row>
    <row r="67" spans="1:139" s="47" customFormat="1" ht="39.75" customHeight="1">
      <c r="A67" s="50">
        <v>121</v>
      </c>
      <c r="B67" s="54">
        <v>43138</v>
      </c>
      <c r="C67" s="55">
        <v>43138.815972222219</v>
      </c>
      <c r="D67" s="56">
        <v>39470787</v>
      </c>
      <c r="E67" s="50" t="s">
        <v>366</v>
      </c>
      <c r="F67" s="47" t="b">
        <v>1</v>
      </c>
      <c r="H67" s="50" t="s">
        <v>129</v>
      </c>
      <c r="I67" s="54">
        <v>31026</v>
      </c>
      <c r="J67" s="50">
        <v>33.183561643835617</v>
      </c>
      <c r="K67" s="181">
        <v>398.15910585141353</v>
      </c>
      <c r="L67" s="50" t="s">
        <v>114</v>
      </c>
      <c r="M67" s="186" t="s">
        <v>367</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v>0</v>
      </c>
      <c r="AK67" s="323">
        <f t="shared" ref="AK67:AK130" si="2">IF(P67&gt;25,1,0)</f>
        <v>0</v>
      </c>
      <c r="AL67" s="186"/>
      <c r="AM67" s="58">
        <v>43128</v>
      </c>
      <c r="AN67" s="52" t="s">
        <v>1662</v>
      </c>
      <c r="AO67" s="54">
        <v>43179</v>
      </c>
      <c r="AP67" s="50" t="s">
        <v>1663</v>
      </c>
      <c r="AQ67" s="58">
        <v>43126</v>
      </c>
      <c r="AR67" s="52">
        <v>1</v>
      </c>
      <c r="AS67" s="52" t="s">
        <v>1659</v>
      </c>
      <c r="AT67" s="323">
        <v>0</v>
      </c>
      <c r="AU67" s="52">
        <v>1</v>
      </c>
      <c r="AV67" s="52">
        <v>0</v>
      </c>
      <c r="AW67" s="52">
        <v>1</v>
      </c>
      <c r="AX67" s="52" t="s">
        <v>368</v>
      </c>
      <c r="AY67" s="70"/>
      <c r="AZ67" s="193" t="s">
        <v>1660</v>
      </c>
      <c r="BA67" s="47">
        <v>0</v>
      </c>
      <c r="BB67" s="69">
        <v>1</v>
      </c>
      <c r="BC67" s="69"/>
      <c r="BD67" s="69">
        <v>0</v>
      </c>
      <c r="BE67" s="69">
        <v>1</v>
      </c>
      <c r="BF67" s="234">
        <v>0</v>
      </c>
      <c r="BG67" s="766">
        <v>1</v>
      </c>
      <c r="BH67" s="766" t="s">
        <v>2004</v>
      </c>
      <c r="BI67" s="223">
        <v>0</v>
      </c>
      <c r="BJ67" s="70"/>
      <c r="BK67" s="70">
        <v>0</v>
      </c>
      <c r="BL67" s="70"/>
      <c r="BM67" s="70">
        <v>0</v>
      </c>
      <c r="BN67" s="70"/>
      <c r="BO67" s="70">
        <v>0</v>
      </c>
      <c r="BP67" s="70">
        <v>0</v>
      </c>
      <c r="BQ67" s="70">
        <v>0</v>
      </c>
      <c r="BR67" s="70">
        <v>0</v>
      </c>
      <c r="BS67" s="240">
        <v>0</v>
      </c>
      <c r="BT67" s="252">
        <v>1</v>
      </c>
      <c r="BU67" s="253" t="s">
        <v>1664</v>
      </c>
      <c r="BV67" s="253">
        <v>0</v>
      </c>
      <c r="BW67" s="253">
        <v>0</v>
      </c>
      <c r="BX67" s="70">
        <v>0</v>
      </c>
      <c r="BY67" s="70"/>
      <c r="BZ67" s="70"/>
      <c r="CA67" s="70"/>
      <c r="CB67" s="70">
        <v>0</v>
      </c>
      <c r="CC67" s="70">
        <v>0</v>
      </c>
      <c r="CD67" s="70">
        <v>0</v>
      </c>
      <c r="CE67" s="70"/>
      <c r="CF67" s="70"/>
      <c r="CG67" s="70"/>
      <c r="CH67" s="70">
        <v>0</v>
      </c>
      <c r="CI67" s="70"/>
      <c r="CJ67" s="70">
        <v>0</v>
      </c>
      <c r="CK67" s="70">
        <v>0</v>
      </c>
      <c r="CL67" s="70">
        <v>0</v>
      </c>
      <c r="CM67" s="47">
        <v>125</v>
      </c>
      <c r="CN67" s="47">
        <v>82</v>
      </c>
      <c r="CP67" s="504">
        <v>28.5</v>
      </c>
      <c r="CQ67" s="504">
        <v>30.8</v>
      </c>
      <c r="CR67" s="54">
        <v>43138</v>
      </c>
      <c r="CS67" s="54">
        <v>43174</v>
      </c>
      <c r="CT67" s="78">
        <v>36</v>
      </c>
      <c r="CU67" s="79">
        <v>43887</v>
      </c>
      <c r="CV67" s="59">
        <v>0</v>
      </c>
      <c r="CW67" s="54"/>
      <c r="CX67" s="59">
        <v>0</v>
      </c>
      <c r="CY67" s="59">
        <v>0</v>
      </c>
      <c r="CZ67" s="59">
        <v>0</v>
      </c>
      <c r="DA67" s="54"/>
      <c r="DB67" s="59">
        <v>0</v>
      </c>
      <c r="DC67" s="54"/>
      <c r="DD67" s="59">
        <v>0</v>
      </c>
      <c r="DE67" s="54"/>
      <c r="DF67" s="59">
        <v>0</v>
      </c>
      <c r="DG67" s="54"/>
      <c r="DH67" s="54"/>
      <c r="DI67" s="70"/>
      <c r="DJ67" s="50"/>
      <c r="DK67" s="50"/>
      <c r="DL67" s="50"/>
      <c r="DM67" s="50"/>
      <c r="DN67" s="50"/>
      <c r="DO67" s="50"/>
      <c r="DP67" s="70"/>
      <c r="DQ67" s="70"/>
      <c r="DR67" s="70"/>
      <c r="DS67" s="70"/>
      <c r="DT67" s="70"/>
      <c r="DU67" s="70"/>
      <c r="DV67" s="70"/>
      <c r="DW67" s="70"/>
      <c r="DX67" s="70"/>
      <c r="DY67" s="70"/>
      <c r="DZ67" s="70"/>
      <c r="EA67" s="70"/>
      <c r="EB67" s="70"/>
      <c r="EC67" s="70"/>
      <c r="ED67" s="70"/>
      <c r="EE67" s="70"/>
      <c r="EF67" s="70"/>
      <c r="EG67" s="70"/>
      <c r="EH67" s="70"/>
      <c r="EI67" s="70"/>
    </row>
    <row r="68" spans="1:139" s="47" customFormat="1" ht="39.75" customHeight="1">
      <c r="A68" s="50">
        <v>123</v>
      </c>
      <c r="B68" s="54">
        <v>43129</v>
      </c>
      <c r="C68" s="55">
        <v>43129.574305555558</v>
      </c>
      <c r="D68" s="56">
        <v>39411931</v>
      </c>
      <c r="E68" s="50" t="s">
        <v>369</v>
      </c>
      <c r="F68" s="47" t="b">
        <v>1</v>
      </c>
      <c r="H68" s="50" t="s">
        <v>113</v>
      </c>
      <c r="I68" s="54">
        <v>25750</v>
      </c>
      <c r="J68" s="50">
        <v>47.613698630136987</v>
      </c>
      <c r="K68" s="181">
        <v>571.30177514792899</v>
      </c>
      <c r="L68" s="50" t="s">
        <v>114</v>
      </c>
      <c r="M68" s="186" t="s">
        <v>370</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v>0</v>
      </c>
      <c r="AK68" s="323">
        <f t="shared" si="2"/>
        <v>0</v>
      </c>
      <c r="AL68" s="186"/>
      <c r="AM68" s="58">
        <v>43126</v>
      </c>
      <c r="AN68" s="52" t="s">
        <v>1665</v>
      </c>
      <c r="AO68" s="54">
        <v>43157</v>
      </c>
      <c r="AP68" s="50" t="s">
        <v>1666</v>
      </c>
      <c r="AQ68" s="58">
        <v>43126</v>
      </c>
      <c r="AR68" s="52">
        <v>1</v>
      </c>
      <c r="AS68" s="52" t="s">
        <v>1659</v>
      </c>
      <c r="AT68" s="323">
        <v>0</v>
      </c>
      <c r="AU68" s="52">
        <v>1</v>
      </c>
      <c r="AV68" s="52">
        <v>0</v>
      </c>
      <c r="AW68" s="52">
        <v>1</v>
      </c>
      <c r="AX68" s="50" t="s">
        <v>371</v>
      </c>
      <c r="AY68" s="70"/>
      <c r="AZ68" s="193" t="s">
        <v>1660</v>
      </c>
      <c r="BA68" s="47">
        <v>0</v>
      </c>
      <c r="BB68" s="69">
        <v>1</v>
      </c>
      <c r="BC68" s="69"/>
      <c r="BD68" s="69">
        <v>0</v>
      </c>
      <c r="BE68" s="69">
        <v>0</v>
      </c>
      <c r="BF68" s="234">
        <v>0</v>
      </c>
      <c r="BG68" s="766">
        <v>0</v>
      </c>
      <c r="BH68" s="766"/>
      <c r="BI68" s="223">
        <v>0</v>
      </c>
      <c r="BJ68" s="70"/>
      <c r="BK68" s="70">
        <v>0</v>
      </c>
      <c r="BL68" s="70"/>
      <c r="BM68" s="70">
        <v>0</v>
      </c>
      <c r="BN68" s="70"/>
      <c r="BO68" s="70">
        <v>0</v>
      </c>
      <c r="BP68" s="70">
        <v>0</v>
      </c>
      <c r="BQ68" s="70">
        <v>0</v>
      </c>
      <c r="BR68" s="70">
        <v>0</v>
      </c>
      <c r="BS68" s="240">
        <v>0</v>
      </c>
      <c r="BT68" s="223">
        <v>1</v>
      </c>
      <c r="BU68" s="70" t="s">
        <v>1667</v>
      </c>
      <c r="BV68" s="70">
        <v>0</v>
      </c>
      <c r="BW68" s="70">
        <v>0</v>
      </c>
      <c r="BX68" s="70">
        <v>0</v>
      </c>
      <c r="BY68" s="70"/>
      <c r="BZ68" s="70"/>
      <c r="CA68" s="70"/>
      <c r="CB68" s="70">
        <v>0</v>
      </c>
      <c r="CC68" s="70">
        <v>0</v>
      </c>
      <c r="CD68" s="70">
        <v>0</v>
      </c>
      <c r="CE68" s="70"/>
      <c r="CF68" s="70"/>
      <c r="CG68" s="70"/>
      <c r="CH68" s="70">
        <v>0</v>
      </c>
      <c r="CI68" s="70"/>
      <c r="CJ68" s="70">
        <v>0</v>
      </c>
      <c r="CK68" s="70">
        <v>0</v>
      </c>
      <c r="CL68" s="70">
        <v>0</v>
      </c>
      <c r="CM68" s="47">
        <v>81</v>
      </c>
      <c r="CN68" s="47">
        <v>60</v>
      </c>
      <c r="CP68" s="504">
        <v>31</v>
      </c>
      <c r="CQ68" s="504">
        <v>32.200000000000003</v>
      </c>
      <c r="CR68" s="54">
        <v>43126</v>
      </c>
      <c r="CS68" s="54">
        <v>43144</v>
      </c>
      <c r="CT68" s="78">
        <v>15</v>
      </c>
      <c r="CU68" s="79">
        <v>44271</v>
      </c>
      <c r="CV68" s="59">
        <v>0</v>
      </c>
      <c r="CW68" s="54"/>
      <c r="CX68" s="59">
        <v>0</v>
      </c>
      <c r="CY68" s="59">
        <v>0</v>
      </c>
      <c r="CZ68" s="59">
        <v>0</v>
      </c>
      <c r="DA68" s="54"/>
      <c r="DB68" s="59">
        <v>0</v>
      </c>
      <c r="DC68" s="54"/>
      <c r="DD68" s="59">
        <v>0</v>
      </c>
      <c r="DE68" s="54"/>
      <c r="DF68" s="59">
        <v>0</v>
      </c>
      <c r="DG68" s="54"/>
      <c r="DH68" s="54"/>
      <c r="DI68" s="70"/>
      <c r="DJ68" s="50"/>
      <c r="DK68" s="50"/>
      <c r="DL68" s="50"/>
      <c r="DM68" s="50"/>
      <c r="DN68" s="50"/>
      <c r="DO68" s="50"/>
      <c r="DP68" s="70"/>
      <c r="DQ68" s="70"/>
      <c r="DR68" s="70"/>
      <c r="DS68" s="70"/>
      <c r="DT68" s="70"/>
      <c r="DU68" s="70"/>
      <c r="DV68" s="70"/>
      <c r="DW68" s="70"/>
      <c r="DX68" s="70"/>
      <c r="DY68" s="70"/>
      <c r="DZ68" s="70"/>
      <c r="EA68" s="70"/>
      <c r="EB68" s="70"/>
      <c r="EC68" s="70"/>
      <c r="ED68" s="70"/>
      <c r="EE68" s="70"/>
      <c r="EF68" s="70"/>
      <c r="EG68" s="70"/>
      <c r="EH68" s="70"/>
      <c r="EI68" s="70"/>
    </row>
    <row r="69" spans="1:139" s="47" customFormat="1" ht="39.75" customHeight="1">
      <c r="A69" s="50">
        <v>124</v>
      </c>
      <c r="B69" s="54">
        <v>43117</v>
      </c>
      <c r="C69" s="55">
        <v>43117.31527777778</v>
      </c>
      <c r="D69" s="56">
        <v>39350030</v>
      </c>
      <c r="E69" s="50" t="s">
        <v>372</v>
      </c>
      <c r="F69" s="47" t="b">
        <v>1</v>
      </c>
      <c r="H69" s="50" t="s">
        <v>129</v>
      </c>
      <c r="I69" s="54">
        <v>28948</v>
      </c>
      <c r="J69" s="50">
        <v>38.819178082191783</v>
      </c>
      <c r="K69" s="181">
        <v>465.77909270216958</v>
      </c>
      <c r="L69" s="50" t="s">
        <v>121</v>
      </c>
      <c r="M69" s="186" t="s">
        <v>373</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v>0</v>
      </c>
      <c r="AK69" s="323">
        <f t="shared" si="2"/>
        <v>0</v>
      </c>
      <c r="AL69" s="186"/>
      <c r="AM69" s="58">
        <v>43113</v>
      </c>
      <c r="AN69" s="52" t="s">
        <v>1668</v>
      </c>
      <c r="AO69" s="54">
        <v>43147</v>
      </c>
      <c r="AP69" s="50" t="s">
        <v>1669</v>
      </c>
      <c r="AQ69" s="58">
        <v>43116</v>
      </c>
      <c r="AR69" s="52">
        <v>1</v>
      </c>
      <c r="AS69" s="52" t="s">
        <v>1670</v>
      </c>
      <c r="AT69" s="323">
        <v>0</v>
      </c>
      <c r="AU69" s="52">
        <v>1</v>
      </c>
      <c r="AV69" s="52">
        <v>0</v>
      </c>
      <c r="AW69" s="52">
        <v>1</v>
      </c>
      <c r="AX69" s="50" t="s">
        <v>374</v>
      </c>
      <c r="AY69" s="70"/>
      <c r="AZ69" s="193" t="s">
        <v>1671</v>
      </c>
      <c r="BA69" s="47">
        <v>0</v>
      </c>
      <c r="BB69" s="69">
        <v>1</v>
      </c>
      <c r="BC69" s="69"/>
      <c r="BD69" s="69">
        <v>0</v>
      </c>
      <c r="BE69" s="69">
        <v>0</v>
      </c>
      <c r="BF69" s="234">
        <v>0</v>
      </c>
      <c r="BG69" s="766">
        <v>0</v>
      </c>
      <c r="BH69" s="766"/>
      <c r="BI69" s="223">
        <v>0</v>
      </c>
      <c r="BJ69" s="70"/>
      <c r="BK69" s="70">
        <v>0</v>
      </c>
      <c r="BL69" s="70"/>
      <c r="BM69" s="70">
        <v>0</v>
      </c>
      <c r="BN69" s="70"/>
      <c r="BO69" s="70">
        <v>0</v>
      </c>
      <c r="BP69" s="70">
        <v>0</v>
      </c>
      <c r="BQ69" s="70">
        <v>0</v>
      </c>
      <c r="BR69" s="70">
        <v>0</v>
      </c>
      <c r="BS69" s="240">
        <v>0</v>
      </c>
      <c r="BT69" s="223">
        <v>1</v>
      </c>
      <c r="BU69" s="70" t="s">
        <v>1672</v>
      </c>
      <c r="BV69" s="70">
        <v>0</v>
      </c>
      <c r="BW69" s="70">
        <v>0</v>
      </c>
      <c r="BX69" s="70">
        <v>0</v>
      </c>
      <c r="BY69" s="70"/>
      <c r="BZ69" s="70"/>
      <c r="CA69" s="70"/>
      <c r="CB69" s="70">
        <v>0</v>
      </c>
      <c r="CC69" s="70">
        <v>0</v>
      </c>
      <c r="CD69" s="70">
        <v>0</v>
      </c>
      <c r="CE69" s="70"/>
      <c r="CF69" s="70"/>
      <c r="CG69" s="70"/>
      <c r="CH69" s="70">
        <v>0</v>
      </c>
      <c r="CI69" s="70"/>
      <c r="CJ69" s="70">
        <v>0</v>
      </c>
      <c r="CK69" s="70">
        <v>0</v>
      </c>
      <c r="CL69" s="70">
        <v>0</v>
      </c>
      <c r="CM69" s="47">
        <v>112</v>
      </c>
      <c r="CN69" s="47">
        <v>100</v>
      </c>
      <c r="CP69" s="504">
        <v>30.7</v>
      </c>
      <c r="CQ69" s="504">
        <v>32.1</v>
      </c>
      <c r="CR69" s="54">
        <v>43116</v>
      </c>
      <c r="CS69" s="54">
        <v>43134</v>
      </c>
      <c r="CT69" s="78">
        <v>17</v>
      </c>
      <c r="CU69" s="79">
        <v>44218</v>
      </c>
      <c r="CV69" s="59">
        <v>0</v>
      </c>
      <c r="CW69" s="54"/>
      <c r="CX69" s="59">
        <v>0</v>
      </c>
      <c r="CY69" s="59">
        <v>0</v>
      </c>
      <c r="CZ69" s="59">
        <v>0</v>
      </c>
      <c r="DA69" s="54"/>
      <c r="DB69" s="59">
        <v>0</v>
      </c>
      <c r="DC69" s="54"/>
      <c r="DD69" s="59">
        <v>0</v>
      </c>
      <c r="DE69" s="54"/>
      <c r="DF69" s="59">
        <v>0</v>
      </c>
      <c r="DG69" s="54"/>
      <c r="DH69" s="54"/>
      <c r="DI69" s="70"/>
      <c r="DJ69" s="50"/>
      <c r="DK69" s="50"/>
      <c r="DL69" s="50"/>
      <c r="DM69" s="50"/>
      <c r="DN69" s="50"/>
      <c r="DO69" s="50"/>
      <c r="DP69" s="70"/>
      <c r="DQ69" s="70"/>
      <c r="DR69" s="70"/>
      <c r="DS69" s="70"/>
      <c r="DT69" s="70"/>
      <c r="DU69" s="70"/>
      <c r="DV69" s="70"/>
      <c r="DW69" s="70"/>
      <c r="DX69" s="70"/>
      <c r="DY69" s="70"/>
      <c r="DZ69" s="70"/>
      <c r="EA69" s="70"/>
      <c r="EB69" s="70"/>
      <c r="EC69" s="70"/>
      <c r="ED69" s="70"/>
      <c r="EE69" s="70"/>
      <c r="EF69" s="70"/>
      <c r="EG69" s="70"/>
      <c r="EH69" s="70"/>
      <c r="EI69" s="70"/>
    </row>
    <row r="70" spans="1:139" s="48" customFormat="1" ht="39.75" customHeight="1">
      <c r="A70" s="60">
        <v>125</v>
      </c>
      <c r="B70" s="61">
        <v>43091</v>
      </c>
      <c r="C70" s="62">
        <v>43091.354166666664</v>
      </c>
      <c r="D70" s="63">
        <v>39168132</v>
      </c>
      <c r="E70" s="60" t="s">
        <v>375</v>
      </c>
      <c r="F70" s="48" t="b">
        <v>0</v>
      </c>
      <c r="G70" s="48" t="s">
        <v>1674</v>
      </c>
      <c r="H70" s="60" t="s">
        <v>129</v>
      </c>
      <c r="I70" s="61">
        <v>12588</v>
      </c>
      <c r="J70" s="94">
        <v>83.569863013698637</v>
      </c>
      <c r="K70" s="85">
        <v>1002.7284681130834</v>
      </c>
      <c r="L70" s="60" t="s">
        <v>125</v>
      </c>
      <c r="M70" s="187" t="s">
        <v>376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c r="AK70" s="324">
        <f t="shared" si="2"/>
        <v>0</v>
      </c>
      <c r="AL70" s="187"/>
      <c r="AM70" s="191">
        <v>43082</v>
      </c>
      <c r="AN70" s="51" t="s">
        <v>1673</v>
      </c>
      <c r="AO70" s="61"/>
      <c r="AP70" s="60"/>
      <c r="AQ70" s="191"/>
      <c r="AR70" s="51"/>
      <c r="AS70" s="51"/>
      <c r="AT70" s="324"/>
      <c r="AU70" s="51"/>
      <c r="AV70" s="51"/>
      <c r="AW70" s="51"/>
      <c r="AX70" s="60" t="s">
        <v>377</v>
      </c>
      <c r="AY70" s="71"/>
      <c r="AZ70" s="91">
        <v>1</v>
      </c>
      <c r="BB70" s="82"/>
      <c r="BC70" s="82"/>
      <c r="BD70" s="82"/>
      <c r="BE70" s="82"/>
      <c r="BF70" s="235"/>
      <c r="BG70" s="767"/>
      <c r="BH70" s="767"/>
      <c r="BI70" s="224"/>
      <c r="BJ70" s="71"/>
      <c r="BK70" s="71"/>
      <c r="BL70" s="71"/>
      <c r="BM70" s="71"/>
      <c r="BN70" s="71"/>
      <c r="BO70" s="71"/>
      <c r="BP70" s="71"/>
      <c r="BQ70" s="71"/>
      <c r="BR70" s="71"/>
      <c r="BS70" s="241"/>
      <c r="BT70" s="239" t="s">
        <v>245</v>
      </c>
      <c r="BU70" s="118"/>
      <c r="BV70" s="118"/>
      <c r="BW70" s="118"/>
      <c r="BX70" s="71"/>
      <c r="BY70" s="71"/>
      <c r="BZ70" s="71"/>
      <c r="CA70" s="71"/>
      <c r="CB70" s="71"/>
      <c r="CC70" s="71"/>
      <c r="CD70" s="71"/>
      <c r="CE70" s="71"/>
      <c r="CF70" s="71"/>
      <c r="CG70" s="71"/>
      <c r="CH70" s="71"/>
      <c r="CI70" s="71"/>
      <c r="CJ70" s="71"/>
      <c r="CK70" s="71"/>
      <c r="CL70" s="71"/>
      <c r="CM70" s="48">
        <v>76</v>
      </c>
      <c r="CN70" s="48">
        <v>58</v>
      </c>
      <c r="CP70" s="505">
        <v>28.6</v>
      </c>
      <c r="CQ70" s="505">
        <v>31.5</v>
      </c>
      <c r="CR70" s="61">
        <v>43084</v>
      </c>
      <c r="CS70" s="61">
        <v>43122</v>
      </c>
      <c r="CT70" s="83">
        <v>31</v>
      </c>
      <c r="CU70" s="84"/>
      <c r="CV70" s="65"/>
      <c r="CW70" s="61"/>
      <c r="CX70" s="65"/>
      <c r="CY70" s="65"/>
      <c r="CZ70" s="65"/>
      <c r="DA70" s="61"/>
      <c r="DB70" s="65"/>
      <c r="DC70" s="61"/>
      <c r="DD70" s="65"/>
      <c r="DE70" s="61"/>
      <c r="DF70" s="65"/>
      <c r="DG70" s="61"/>
      <c r="DH70" s="61"/>
      <c r="DI70" s="71"/>
      <c r="DJ70" s="60">
        <v>0</v>
      </c>
      <c r="DK70" s="60"/>
      <c r="DL70" s="60"/>
      <c r="DM70" s="60"/>
      <c r="DN70" s="71"/>
      <c r="DO70" s="60"/>
      <c r="DP70" s="71"/>
      <c r="DQ70" s="71"/>
      <c r="DR70" s="71"/>
      <c r="DS70" s="71"/>
      <c r="DT70" s="71"/>
      <c r="DU70" s="71"/>
      <c r="DV70" s="71"/>
      <c r="DW70" s="71"/>
      <c r="DX70" s="71"/>
      <c r="DY70" s="71"/>
      <c r="DZ70" s="71"/>
      <c r="EA70" s="71"/>
      <c r="EB70" s="71"/>
      <c r="EC70" s="71"/>
      <c r="ED70" s="71"/>
      <c r="EE70" s="71"/>
      <c r="EF70" s="71"/>
      <c r="EG70" s="71"/>
      <c r="EH70" s="71"/>
      <c r="EI70" s="71"/>
    </row>
    <row r="71" spans="1:139" s="48" customFormat="1" ht="39.75" customHeight="1">
      <c r="A71" s="60">
        <v>126</v>
      </c>
      <c r="B71" s="61">
        <v>43089</v>
      </c>
      <c r="C71" s="62">
        <v>43089.583333333336</v>
      </c>
      <c r="D71" s="63">
        <v>38816285</v>
      </c>
      <c r="E71" s="60" t="s">
        <v>378</v>
      </c>
      <c r="F71" s="48" t="b">
        <v>0</v>
      </c>
      <c r="G71" s="48" t="s">
        <v>1675</v>
      </c>
      <c r="H71" s="60" t="s">
        <v>113</v>
      </c>
      <c r="I71" s="61">
        <v>19063</v>
      </c>
      <c r="J71" s="94">
        <v>65.824657534246569</v>
      </c>
      <c r="K71" s="85">
        <v>789.80933596318209</v>
      </c>
      <c r="L71" s="60" t="s">
        <v>114</v>
      </c>
      <c r="M71" s="187" t="s">
        <v>379</v>
      </c>
      <c r="N71" s="48">
        <v>167</v>
      </c>
      <c r="O71" s="48">
        <v>62.5</v>
      </c>
      <c r="P71" s="48">
        <f t="shared" si="3"/>
        <v>22.410269281795692</v>
      </c>
      <c r="Q71" s="191"/>
      <c r="V71" s="51"/>
      <c r="Y71" s="216">
        <v>0</v>
      </c>
      <c r="Z71" s="336"/>
      <c r="AA71" s="324"/>
      <c r="AB71" s="324"/>
      <c r="AC71" s="324"/>
      <c r="AD71" s="324"/>
      <c r="AE71" s="324"/>
      <c r="AF71" s="324"/>
      <c r="AG71" s="324"/>
      <c r="AH71" s="324"/>
      <c r="AI71" s="324"/>
      <c r="AJ71" s="324"/>
      <c r="AK71" s="324">
        <f t="shared" si="2"/>
        <v>0</v>
      </c>
      <c r="AL71" s="187"/>
      <c r="AM71" s="191"/>
      <c r="AN71" s="51"/>
      <c r="AO71" s="61"/>
      <c r="AP71" s="60"/>
      <c r="AQ71" s="191"/>
      <c r="AR71" s="51"/>
      <c r="AS71" s="51"/>
      <c r="AT71" s="324"/>
      <c r="AU71" s="51"/>
      <c r="AV71" s="51"/>
      <c r="AW71" s="51"/>
      <c r="AX71" s="51" t="s">
        <v>380</v>
      </c>
      <c r="AY71" s="71"/>
      <c r="AZ71" s="91"/>
      <c r="BB71" s="82"/>
      <c r="BC71" s="82"/>
      <c r="BD71" s="82"/>
      <c r="BE71" s="82"/>
      <c r="BF71" s="235"/>
      <c r="BG71" s="767"/>
      <c r="BH71" s="767"/>
      <c r="BI71" s="224"/>
      <c r="BJ71" s="71"/>
      <c r="BK71" s="71"/>
      <c r="BL71" s="71"/>
      <c r="BM71" s="71"/>
      <c r="BN71" s="71"/>
      <c r="BO71" s="71"/>
      <c r="BP71" s="71"/>
      <c r="BQ71" s="71"/>
      <c r="BR71" s="71"/>
      <c r="BS71" s="241"/>
      <c r="BT71" s="239" t="s">
        <v>245</v>
      </c>
      <c r="BU71" s="118"/>
      <c r="BV71" s="118"/>
      <c r="BW71" s="118"/>
      <c r="BX71" s="71"/>
      <c r="BY71" s="71"/>
      <c r="BZ71" s="71"/>
      <c r="CA71" s="71"/>
      <c r="CB71" s="71"/>
      <c r="CC71" s="71"/>
      <c r="CD71" s="71"/>
      <c r="CE71" s="71"/>
      <c r="CF71" s="71"/>
      <c r="CG71" s="71"/>
      <c r="CH71" s="71"/>
      <c r="CI71" s="71"/>
      <c r="CJ71" s="71"/>
      <c r="CK71" s="71"/>
      <c r="CL71" s="71"/>
      <c r="CM71" s="48">
        <v>148</v>
      </c>
      <c r="CN71" s="48">
        <v>110</v>
      </c>
      <c r="CP71" s="505">
        <v>28.6</v>
      </c>
      <c r="CQ71" s="505">
        <v>30.5</v>
      </c>
      <c r="CR71" s="61">
        <v>43079</v>
      </c>
      <c r="CS71" s="61">
        <v>43124</v>
      </c>
      <c r="CT71" s="83">
        <v>35</v>
      </c>
      <c r="CU71" s="84"/>
      <c r="CV71" s="65"/>
      <c r="CW71" s="61"/>
      <c r="CX71" s="65"/>
      <c r="CY71" s="65"/>
      <c r="CZ71" s="65"/>
      <c r="DA71" s="61"/>
      <c r="DB71" s="65"/>
      <c r="DC71" s="61"/>
      <c r="DD71" s="65"/>
      <c r="DE71" s="61"/>
      <c r="DF71" s="65"/>
      <c r="DG71" s="61"/>
      <c r="DH71" s="61"/>
      <c r="DI71" s="71"/>
      <c r="DJ71" s="60">
        <v>0</v>
      </c>
      <c r="DK71" s="60"/>
      <c r="DL71" s="60"/>
      <c r="DM71" s="60"/>
      <c r="DN71" s="71"/>
      <c r="DO71" s="60"/>
      <c r="DP71" s="71"/>
      <c r="DQ71" s="71"/>
      <c r="DR71" s="71"/>
      <c r="DS71" s="71"/>
      <c r="DT71" s="71"/>
      <c r="DU71" s="71"/>
      <c r="DV71" s="71"/>
      <c r="DW71" s="71"/>
      <c r="DX71" s="71"/>
      <c r="DY71" s="71"/>
      <c r="DZ71" s="71"/>
      <c r="EA71" s="71"/>
      <c r="EB71" s="71"/>
      <c r="EC71" s="71"/>
      <c r="ED71" s="71"/>
      <c r="EE71" s="71"/>
      <c r="EF71" s="71"/>
      <c r="EG71" s="71"/>
      <c r="EH71" s="71"/>
      <c r="EI71" s="71"/>
    </row>
    <row r="72" spans="1:139" s="47" customFormat="1" ht="39.75" customHeight="1">
      <c r="A72" s="50">
        <v>127</v>
      </c>
      <c r="B72" s="54">
        <v>43087</v>
      </c>
      <c r="C72" s="55">
        <v>43087.567361111112</v>
      </c>
      <c r="D72" s="56">
        <v>36942863</v>
      </c>
      <c r="E72" s="50" t="s">
        <v>381</v>
      </c>
      <c r="F72" s="47" t="b">
        <v>1</v>
      </c>
      <c r="H72" s="50" t="s">
        <v>113</v>
      </c>
      <c r="I72" s="54">
        <v>22246</v>
      </c>
      <c r="J72" s="254">
        <v>57.098630136986301</v>
      </c>
      <c r="K72" s="181">
        <v>685.10848126232736</v>
      </c>
      <c r="L72" s="50" t="s">
        <v>114</v>
      </c>
      <c r="M72" s="186" t="s">
        <v>382</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v>0</v>
      </c>
      <c r="AK72" s="323">
        <f t="shared" si="2"/>
        <v>0</v>
      </c>
      <c r="AL72" s="186" t="s">
        <v>383</v>
      </c>
      <c r="AM72" s="58">
        <v>43084</v>
      </c>
      <c r="AN72" s="52" t="s">
        <v>1644</v>
      </c>
      <c r="AO72" s="54">
        <v>43112</v>
      </c>
      <c r="AP72" s="50" t="s">
        <v>223</v>
      </c>
      <c r="AQ72" s="58"/>
      <c r="AR72" s="52">
        <v>0</v>
      </c>
      <c r="AS72" s="52"/>
      <c r="AT72" s="323">
        <v>0</v>
      </c>
      <c r="AU72" s="52">
        <v>1</v>
      </c>
      <c r="AV72" s="52">
        <v>0</v>
      </c>
      <c r="AW72" s="52">
        <v>0</v>
      </c>
      <c r="AX72" s="52" t="s">
        <v>384</v>
      </c>
      <c r="AY72" s="70"/>
      <c r="AZ72" s="193" t="s">
        <v>1671</v>
      </c>
      <c r="BA72" s="47">
        <v>0</v>
      </c>
      <c r="BB72" s="69">
        <v>1</v>
      </c>
      <c r="BC72" s="69"/>
      <c r="BD72" s="69">
        <v>0</v>
      </c>
      <c r="BE72" s="69">
        <v>0</v>
      </c>
      <c r="BF72" s="234">
        <v>1</v>
      </c>
      <c r="BG72" s="766">
        <v>0</v>
      </c>
      <c r="BH72" s="766"/>
      <c r="BI72" s="223">
        <v>1</v>
      </c>
      <c r="BJ72" s="70"/>
      <c r="BK72" s="70">
        <v>1</v>
      </c>
      <c r="BL72" s="70" t="s">
        <v>1676</v>
      </c>
      <c r="BM72" s="70">
        <v>1</v>
      </c>
      <c r="BN72" s="70" t="s">
        <v>1677</v>
      </c>
      <c r="BO72" s="70">
        <v>1</v>
      </c>
      <c r="BP72" s="70">
        <v>0</v>
      </c>
      <c r="BQ72" s="70">
        <v>0</v>
      </c>
      <c r="BR72" s="70">
        <v>0</v>
      </c>
      <c r="BS72" s="242">
        <v>0</v>
      </c>
      <c r="BT72" s="223">
        <v>0</v>
      </c>
      <c r="BU72" s="70"/>
      <c r="BV72" s="70">
        <v>0</v>
      </c>
      <c r="BW72" s="70">
        <v>0</v>
      </c>
      <c r="BX72" s="70">
        <v>0</v>
      </c>
      <c r="BY72" s="70"/>
      <c r="BZ72" s="70"/>
      <c r="CA72" s="70"/>
      <c r="CB72" s="77">
        <v>0</v>
      </c>
      <c r="CC72" s="77">
        <v>0</v>
      </c>
      <c r="CD72" s="77">
        <v>0</v>
      </c>
      <c r="CE72" s="77"/>
      <c r="CF72" s="77"/>
      <c r="CG72" s="70"/>
      <c r="CH72" s="70">
        <v>0</v>
      </c>
      <c r="CI72" s="70"/>
      <c r="CJ72" s="70">
        <v>0</v>
      </c>
      <c r="CK72" s="70">
        <v>0</v>
      </c>
      <c r="CL72" s="70">
        <v>0</v>
      </c>
      <c r="CM72" s="47">
        <v>96</v>
      </c>
      <c r="CN72" s="47">
        <v>56</v>
      </c>
      <c r="CP72" s="504">
        <v>31.2</v>
      </c>
      <c r="CQ72" s="504">
        <v>32.799999999999997</v>
      </c>
      <c r="CR72" s="54">
        <v>43083</v>
      </c>
      <c r="CS72" s="54">
        <v>43103</v>
      </c>
      <c r="CT72" s="78">
        <v>16</v>
      </c>
      <c r="CU72" s="79">
        <v>44146</v>
      </c>
      <c r="CV72" s="59">
        <v>0</v>
      </c>
      <c r="CW72" s="54"/>
      <c r="CX72" s="59">
        <v>0</v>
      </c>
      <c r="CY72" s="59">
        <v>0</v>
      </c>
      <c r="CZ72" s="59">
        <v>0</v>
      </c>
      <c r="DA72" s="54"/>
      <c r="DB72" s="59">
        <v>0</v>
      </c>
      <c r="DC72" s="54"/>
      <c r="DD72" s="59">
        <v>0</v>
      </c>
      <c r="DE72" s="54"/>
      <c r="DF72" s="59">
        <v>0</v>
      </c>
      <c r="DG72" s="54"/>
      <c r="DH72" s="66"/>
      <c r="DI72" s="70"/>
      <c r="DJ72" s="50">
        <v>0</v>
      </c>
      <c r="DK72" s="50"/>
      <c r="DL72" s="50"/>
      <c r="DM72" s="50"/>
      <c r="DN72" s="70"/>
      <c r="DO72" s="50"/>
      <c r="DP72" s="70"/>
      <c r="DQ72" s="70"/>
      <c r="DR72" s="70"/>
      <c r="DS72" s="70"/>
      <c r="DT72" s="70"/>
      <c r="DU72" s="70"/>
      <c r="DV72" s="70"/>
      <c r="DW72" s="70"/>
      <c r="DX72" s="70"/>
      <c r="DY72" s="70"/>
      <c r="DZ72" s="70"/>
      <c r="EA72" s="70"/>
      <c r="EB72" s="70"/>
      <c r="EC72" s="70"/>
      <c r="ED72" s="70"/>
      <c r="EE72" s="70"/>
      <c r="EF72" s="70"/>
      <c r="EG72" s="70"/>
      <c r="EH72" s="70"/>
      <c r="EI72" s="70"/>
    </row>
    <row r="73" spans="1:139" s="47" customFormat="1" ht="39.75" customHeight="1">
      <c r="A73" s="50">
        <v>128</v>
      </c>
      <c r="B73" s="54">
        <v>43068</v>
      </c>
      <c r="C73" s="55">
        <v>43068.3125</v>
      </c>
      <c r="D73" s="56" t="s">
        <v>385</v>
      </c>
      <c r="E73" s="50" t="s">
        <v>386</v>
      </c>
      <c r="F73" s="47" t="b">
        <v>1</v>
      </c>
      <c r="H73" s="50" t="s">
        <v>113</v>
      </c>
      <c r="I73" s="54">
        <v>30248</v>
      </c>
      <c r="J73" s="255">
        <v>35.123287671232873</v>
      </c>
      <c r="K73" s="181">
        <v>421.43326758711373</v>
      </c>
      <c r="L73" s="50" t="s">
        <v>216</v>
      </c>
      <c r="M73" s="186" t="s">
        <v>387</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v>0</v>
      </c>
      <c r="AK73" s="323">
        <f t="shared" si="2"/>
        <v>0</v>
      </c>
      <c r="AL73" s="186" t="s">
        <v>1678</v>
      </c>
      <c r="AM73" s="58">
        <v>43063</v>
      </c>
      <c r="AN73" s="52" t="s">
        <v>1530</v>
      </c>
      <c r="AO73" s="54">
        <v>43110</v>
      </c>
      <c r="AP73" s="50" t="s">
        <v>1679</v>
      </c>
      <c r="AQ73" s="58">
        <v>43062</v>
      </c>
      <c r="AR73" s="52">
        <v>0</v>
      </c>
      <c r="AS73" s="52"/>
      <c r="AT73" s="323">
        <v>0</v>
      </c>
      <c r="AU73" s="52">
        <v>1</v>
      </c>
      <c r="AV73" s="52">
        <v>0</v>
      </c>
      <c r="AW73" s="52">
        <v>0</v>
      </c>
      <c r="AX73" s="52" t="s">
        <v>388</v>
      </c>
      <c r="AY73" s="70"/>
      <c r="AZ73" s="193" t="s">
        <v>1680</v>
      </c>
      <c r="BA73" s="47">
        <v>0</v>
      </c>
      <c r="BB73" s="69">
        <v>1</v>
      </c>
      <c r="BC73" s="69"/>
      <c r="BD73" s="69">
        <v>0</v>
      </c>
      <c r="BE73" s="69">
        <v>0</v>
      </c>
      <c r="BF73" s="234">
        <v>0</v>
      </c>
      <c r="BG73" s="766">
        <v>1</v>
      </c>
      <c r="BH73" s="766" t="s">
        <v>2004</v>
      </c>
      <c r="BI73" s="223">
        <v>0</v>
      </c>
      <c r="BJ73" s="70"/>
      <c r="BK73" s="70">
        <v>0</v>
      </c>
      <c r="BL73" s="70"/>
      <c r="BM73" s="70">
        <v>0</v>
      </c>
      <c r="BN73" s="70"/>
      <c r="BO73" s="70">
        <v>0</v>
      </c>
      <c r="BP73" s="70">
        <v>0</v>
      </c>
      <c r="BQ73" s="70">
        <v>0</v>
      </c>
      <c r="BR73" s="70">
        <v>0</v>
      </c>
      <c r="BS73" s="240">
        <v>0</v>
      </c>
      <c r="BT73" s="223">
        <v>1</v>
      </c>
      <c r="BU73" s="70" t="s">
        <v>1681</v>
      </c>
      <c r="BV73" s="70">
        <v>0</v>
      </c>
      <c r="BW73" s="70">
        <v>0</v>
      </c>
      <c r="BX73" s="70">
        <v>0</v>
      </c>
      <c r="BY73" s="70"/>
      <c r="BZ73" s="70"/>
      <c r="CA73" s="70"/>
      <c r="CB73" s="70">
        <v>0</v>
      </c>
      <c r="CC73" s="70">
        <v>0</v>
      </c>
      <c r="CD73" s="70">
        <v>0</v>
      </c>
      <c r="CE73" s="70"/>
      <c r="CF73" s="70"/>
      <c r="CG73" s="70"/>
      <c r="CH73" s="70">
        <v>1</v>
      </c>
      <c r="CI73" s="80" t="s">
        <v>2195</v>
      </c>
      <c r="CJ73" s="70">
        <v>0</v>
      </c>
      <c r="CK73" s="70">
        <v>0</v>
      </c>
      <c r="CL73" s="70">
        <v>0</v>
      </c>
      <c r="CM73" s="47">
        <v>125</v>
      </c>
      <c r="CN73" s="47">
        <v>62</v>
      </c>
      <c r="CP73" s="504">
        <v>29.1</v>
      </c>
      <c r="CQ73" s="504">
        <v>31.4</v>
      </c>
      <c r="CR73" s="54">
        <v>43063</v>
      </c>
      <c r="CS73" s="54">
        <v>43084</v>
      </c>
      <c r="CT73" s="78">
        <v>16</v>
      </c>
      <c r="CU73" s="79">
        <v>44251</v>
      </c>
      <c r="CV73" s="59">
        <v>0</v>
      </c>
      <c r="CW73" s="54"/>
      <c r="CX73" s="59">
        <v>0</v>
      </c>
      <c r="CY73" s="59">
        <v>0</v>
      </c>
      <c r="CZ73" s="59">
        <v>0</v>
      </c>
      <c r="DA73" s="54"/>
      <c r="DB73" s="59">
        <v>0</v>
      </c>
      <c r="DC73" s="54"/>
      <c r="DD73" s="59">
        <v>0</v>
      </c>
      <c r="DE73" s="54"/>
      <c r="DF73" s="59">
        <v>0</v>
      </c>
      <c r="DG73" s="54"/>
      <c r="DH73" s="54"/>
      <c r="DI73" s="70"/>
      <c r="DJ73" s="50">
        <v>0</v>
      </c>
      <c r="DK73" s="50"/>
      <c r="DL73" s="50"/>
      <c r="DM73" s="50"/>
      <c r="DN73" s="70"/>
      <c r="DO73" s="50"/>
      <c r="DP73" s="70"/>
      <c r="DQ73" s="70"/>
      <c r="DR73" s="70"/>
      <c r="DS73" s="70"/>
      <c r="DT73" s="70"/>
      <c r="DU73" s="70"/>
      <c r="DV73" s="70"/>
      <c r="DW73" s="70"/>
      <c r="DX73" s="70"/>
      <c r="DY73" s="70"/>
      <c r="DZ73" s="70"/>
      <c r="EA73" s="70"/>
      <c r="EB73" s="70"/>
      <c r="EC73" s="70"/>
      <c r="ED73" s="70"/>
      <c r="EE73" s="70"/>
      <c r="EF73" s="70"/>
      <c r="EG73" s="70"/>
      <c r="EH73" s="70"/>
      <c r="EI73" s="70"/>
    </row>
    <row r="74" spans="1:139" s="47" customFormat="1" ht="39.75" customHeight="1">
      <c r="A74" s="50">
        <v>129</v>
      </c>
      <c r="B74" s="54">
        <v>43067</v>
      </c>
      <c r="C74" s="55">
        <v>43067.638888888891</v>
      </c>
      <c r="D74" s="56">
        <v>39057704</v>
      </c>
      <c r="E74" s="50" t="s">
        <v>389</v>
      </c>
      <c r="F74" s="47" t="b">
        <v>1</v>
      </c>
      <c r="H74" s="50" t="s">
        <v>129</v>
      </c>
      <c r="I74" s="54">
        <v>18433</v>
      </c>
      <c r="J74" s="254">
        <v>67.490410958904107</v>
      </c>
      <c r="K74" s="181">
        <v>809.79618671926357</v>
      </c>
      <c r="L74" s="50" t="s">
        <v>125</v>
      </c>
      <c r="M74" s="186" t="s">
        <v>390</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v>0</v>
      </c>
      <c r="AK74" s="323">
        <f t="shared" si="2"/>
        <v>1</v>
      </c>
      <c r="AL74" s="186" t="s">
        <v>1683</v>
      </c>
      <c r="AM74" s="58">
        <v>43062</v>
      </c>
      <c r="AN74" s="52" t="s">
        <v>1684</v>
      </c>
      <c r="AO74" s="54">
        <v>43103</v>
      </c>
      <c r="AP74" s="50" t="s">
        <v>391</v>
      </c>
      <c r="AQ74" s="58">
        <v>43058</v>
      </c>
      <c r="AR74" s="52">
        <v>1</v>
      </c>
      <c r="AS74" s="52" t="s">
        <v>392</v>
      </c>
      <c r="AT74" s="323">
        <v>0</v>
      </c>
      <c r="AU74" s="52">
        <v>0</v>
      </c>
      <c r="AV74" s="52">
        <v>0</v>
      </c>
      <c r="AW74" s="52">
        <v>1</v>
      </c>
      <c r="AX74" s="52" t="s">
        <v>393</v>
      </c>
      <c r="AY74" s="70"/>
      <c r="AZ74" s="193" t="s">
        <v>1685</v>
      </c>
      <c r="BA74" s="47">
        <v>0</v>
      </c>
      <c r="BB74" s="69">
        <v>1</v>
      </c>
      <c r="BC74" s="69"/>
      <c r="BD74" s="69">
        <v>0</v>
      </c>
      <c r="BE74" s="69">
        <v>0</v>
      </c>
      <c r="BF74" s="234">
        <v>0</v>
      </c>
      <c r="BG74" s="766">
        <v>1</v>
      </c>
      <c r="BH74" s="766" t="s">
        <v>2004</v>
      </c>
      <c r="BI74" s="223">
        <v>1</v>
      </c>
      <c r="BJ74" s="70"/>
      <c r="BK74" s="80">
        <v>1</v>
      </c>
      <c r="BL74" s="80" t="s">
        <v>1686</v>
      </c>
      <c r="BM74" s="70">
        <v>1</v>
      </c>
      <c r="BN74" s="70" t="s">
        <v>1687</v>
      </c>
      <c r="BO74" s="70">
        <v>0</v>
      </c>
      <c r="BP74" s="70">
        <v>0</v>
      </c>
      <c r="BQ74" s="70">
        <v>0</v>
      </c>
      <c r="BR74" s="70">
        <v>0</v>
      </c>
      <c r="BS74" s="240">
        <v>1</v>
      </c>
      <c r="BT74" s="223">
        <v>0</v>
      </c>
      <c r="BU74" s="70"/>
      <c r="BV74" s="70">
        <v>0</v>
      </c>
      <c r="BW74" s="70">
        <v>0</v>
      </c>
      <c r="BX74" s="70">
        <v>0</v>
      </c>
      <c r="BY74" s="70"/>
      <c r="BZ74" s="70"/>
      <c r="CA74" s="70"/>
      <c r="CB74" s="77">
        <v>0</v>
      </c>
      <c r="CC74" s="77">
        <v>0</v>
      </c>
      <c r="CD74" s="77">
        <v>0</v>
      </c>
      <c r="CE74" s="77"/>
      <c r="CF74" s="77"/>
      <c r="CG74" s="70"/>
      <c r="CH74" s="70">
        <v>0</v>
      </c>
      <c r="CI74" s="70"/>
      <c r="CJ74" s="70">
        <v>0</v>
      </c>
      <c r="CK74" s="70">
        <v>0</v>
      </c>
      <c r="CL74" s="70">
        <v>0</v>
      </c>
      <c r="CM74" s="47">
        <v>135</v>
      </c>
      <c r="CN74" s="47">
        <v>101</v>
      </c>
      <c r="CP74" s="504">
        <v>30.2</v>
      </c>
      <c r="CQ74" s="504">
        <v>31.1</v>
      </c>
      <c r="CR74" s="54">
        <v>43066</v>
      </c>
      <c r="CS74" s="54">
        <v>43071</v>
      </c>
      <c r="CT74" s="78">
        <v>4</v>
      </c>
      <c r="CU74" s="79">
        <v>43125</v>
      </c>
      <c r="CV74" s="59">
        <v>0</v>
      </c>
      <c r="CW74" s="54"/>
      <c r="CX74" s="59">
        <v>0</v>
      </c>
      <c r="CY74" s="59">
        <v>0</v>
      </c>
      <c r="CZ74" s="59">
        <v>0</v>
      </c>
      <c r="DA74" s="54"/>
      <c r="DB74" s="59">
        <v>0</v>
      </c>
      <c r="DC74" s="54"/>
      <c r="DD74" s="59">
        <v>0</v>
      </c>
      <c r="DE74" s="54"/>
      <c r="DF74" s="59">
        <v>0</v>
      </c>
      <c r="DG74" s="54"/>
      <c r="DH74" s="66"/>
      <c r="DI74" s="70"/>
      <c r="DJ74" s="50">
        <v>0</v>
      </c>
      <c r="DK74" s="50"/>
      <c r="DL74" s="50"/>
      <c r="DM74" s="50"/>
      <c r="DN74" s="70"/>
      <c r="DO74" s="50"/>
      <c r="DP74" s="70"/>
      <c r="DQ74" s="70"/>
      <c r="DR74" s="70"/>
      <c r="DS74" s="70"/>
      <c r="DT74" s="70"/>
      <c r="DU74" s="70"/>
      <c r="DV74" s="70"/>
      <c r="DW74" s="70"/>
      <c r="DX74" s="70"/>
      <c r="DY74" s="70"/>
      <c r="DZ74" s="70"/>
      <c r="EA74" s="70"/>
      <c r="EB74" s="70"/>
      <c r="EC74" s="70"/>
      <c r="ED74" s="70"/>
      <c r="EE74" s="70"/>
      <c r="EF74" s="70"/>
      <c r="EG74" s="70"/>
      <c r="EH74" s="70"/>
      <c r="EI74" s="70"/>
    </row>
    <row r="75" spans="1:139" s="48" customFormat="1" ht="39.75" customHeight="1">
      <c r="A75" s="60">
        <v>131</v>
      </c>
      <c r="B75" s="61">
        <v>43059</v>
      </c>
      <c r="C75" s="62">
        <v>43059.615277777775</v>
      </c>
      <c r="D75" s="63">
        <v>38918219</v>
      </c>
      <c r="E75" s="60" t="s">
        <v>394</v>
      </c>
      <c r="F75" s="48" t="b">
        <v>0</v>
      </c>
      <c r="G75" s="48" t="s">
        <v>1674</v>
      </c>
      <c r="H75" s="60" t="s">
        <v>113</v>
      </c>
      <c r="I75" s="61">
        <v>23602</v>
      </c>
      <c r="J75" s="94">
        <v>53.30684931506849</v>
      </c>
      <c r="K75" s="85">
        <v>639.61209730440498</v>
      </c>
      <c r="L75" s="60" t="s">
        <v>125</v>
      </c>
      <c r="M75" s="187" t="s">
        <v>395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c r="AK75" s="324">
        <f t="shared" si="2"/>
        <v>1</v>
      </c>
      <c r="AL75" s="187"/>
      <c r="AM75" s="191"/>
      <c r="AN75" s="51"/>
      <c r="AO75" s="61"/>
      <c r="AP75" s="60" t="s">
        <v>223</v>
      </c>
      <c r="AQ75" s="191"/>
      <c r="AR75" s="51"/>
      <c r="AS75" s="51"/>
      <c r="AT75" s="324">
        <v>0</v>
      </c>
      <c r="AU75" s="51">
        <v>0</v>
      </c>
      <c r="AV75" s="51">
        <v>0</v>
      </c>
      <c r="AW75" s="51">
        <v>1</v>
      </c>
      <c r="AX75" s="51" t="s">
        <v>398</v>
      </c>
      <c r="AY75" s="71"/>
      <c r="AZ75" s="91"/>
      <c r="BB75" s="82">
        <v>1</v>
      </c>
      <c r="BC75" s="82"/>
      <c r="BD75" s="82">
        <v>0</v>
      </c>
      <c r="BE75" s="82">
        <v>0</v>
      </c>
      <c r="BF75" s="235">
        <v>1</v>
      </c>
      <c r="BG75" s="767"/>
      <c r="BH75" s="767"/>
      <c r="BI75" s="224">
        <v>1</v>
      </c>
      <c r="BJ75" s="71"/>
      <c r="BK75" s="71" t="s">
        <v>396</v>
      </c>
      <c r="BL75" s="71"/>
      <c r="BM75" s="71" t="s">
        <v>397</v>
      </c>
      <c r="BN75" s="71"/>
      <c r="BO75" s="71"/>
      <c r="BP75" s="71"/>
      <c r="BQ75" s="71"/>
      <c r="BR75" s="71"/>
      <c r="BS75" s="241"/>
      <c r="BT75" s="224"/>
      <c r="BU75" s="71"/>
      <c r="BV75" s="71"/>
      <c r="BW75" s="71"/>
      <c r="BX75" s="71">
        <v>0</v>
      </c>
      <c r="BY75" s="71"/>
      <c r="BZ75" s="71"/>
      <c r="CA75" s="71"/>
      <c r="CB75" s="86">
        <v>0</v>
      </c>
      <c r="CC75" s="86"/>
      <c r="CD75" s="86"/>
      <c r="CE75" s="86"/>
      <c r="CF75" s="86"/>
      <c r="CG75" s="71"/>
      <c r="CH75" s="71"/>
      <c r="CI75" s="71"/>
      <c r="CJ75" s="71"/>
      <c r="CK75" s="71"/>
      <c r="CL75" s="71"/>
      <c r="CM75" s="48">
        <v>64</v>
      </c>
      <c r="CN75" s="48">
        <v>42</v>
      </c>
      <c r="CP75" s="505">
        <v>32.200000000000003</v>
      </c>
      <c r="CQ75" s="505">
        <v>33</v>
      </c>
      <c r="CR75" s="61">
        <v>43055</v>
      </c>
      <c r="CS75" s="61">
        <v>43071</v>
      </c>
      <c r="CT75" s="83">
        <v>12</v>
      </c>
      <c r="CU75" s="84"/>
      <c r="CV75" s="65">
        <v>0</v>
      </c>
      <c r="CW75" s="61"/>
      <c r="CX75" s="65"/>
      <c r="CY75" s="65"/>
      <c r="CZ75" s="65"/>
      <c r="DA75" s="61"/>
      <c r="DB75" s="65">
        <v>0</v>
      </c>
      <c r="DC75" s="61"/>
      <c r="DD75" s="65">
        <v>0</v>
      </c>
      <c r="DE75" s="61"/>
      <c r="DF75" s="65">
        <v>0</v>
      </c>
      <c r="DG75" s="61"/>
      <c r="DH75" s="67" t="s">
        <v>399</v>
      </c>
      <c r="DI75" s="71"/>
      <c r="DJ75" s="60">
        <v>0</v>
      </c>
      <c r="DK75" s="60"/>
      <c r="DL75" s="60"/>
      <c r="DM75" s="60"/>
      <c r="DN75" s="71"/>
      <c r="DO75" s="60"/>
      <c r="DP75" s="71"/>
      <c r="DQ75" s="71"/>
      <c r="DR75" s="71"/>
      <c r="DS75" s="71"/>
      <c r="DT75" s="71"/>
      <c r="DU75" s="71"/>
      <c r="DV75" s="71"/>
      <c r="DW75" s="71"/>
      <c r="DX75" s="71"/>
      <c r="DY75" s="71"/>
      <c r="DZ75" s="71"/>
      <c r="EA75" s="71"/>
      <c r="EB75" s="71"/>
      <c r="EC75" s="71"/>
      <c r="ED75" s="71"/>
      <c r="EE75" s="71"/>
      <c r="EF75" s="71"/>
      <c r="EG75" s="71"/>
      <c r="EH75" s="71"/>
      <c r="EI75" s="71"/>
    </row>
    <row r="76" spans="1:139" s="47" customFormat="1" ht="39.75" customHeight="1">
      <c r="A76" s="50">
        <v>136</v>
      </c>
      <c r="B76" s="54">
        <v>43042</v>
      </c>
      <c r="C76" s="55">
        <v>43042.336111111108</v>
      </c>
      <c r="D76" s="56">
        <v>38909057</v>
      </c>
      <c r="E76" s="50" t="s">
        <v>400</v>
      </c>
      <c r="F76" s="47" t="b">
        <v>1</v>
      </c>
      <c r="H76" s="50" t="s">
        <v>113</v>
      </c>
      <c r="I76" s="54">
        <v>22051</v>
      </c>
      <c r="J76" s="255">
        <v>57.509589041095893</v>
      </c>
      <c r="K76" s="181">
        <v>690.03944773175533</v>
      </c>
      <c r="L76" s="50" t="s">
        <v>114</v>
      </c>
      <c r="M76" s="186" t="s">
        <v>401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v>0</v>
      </c>
      <c r="AK76" s="323">
        <f t="shared" si="2"/>
        <v>0</v>
      </c>
      <c r="AL76" s="186"/>
      <c r="AM76" s="58">
        <v>43040</v>
      </c>
      <c r="AN76" s="52" t="s">
        <v>1688</v>
      </c>
      <c r="AO76" s="54">
        <v>43083</v>
      </c>
      <c r="AP76" s="50" t="s">
        <v>260</v>
      </c>
      <c r="AQ76" s="58">
        <v>43040</v>
      </c>
      <c r="AR76" s="52">
        <v>0</v>
      </c>
      <c r="AS76" s="52"/>
      <c r="AT76" s="323">
        <v>0</v>
      </c>
      <c r="AU76" s="52">
        <v>0</v>
      </c>
      <c r="AV76" s="52">
        <v>0</v>
      </c>
      <c r="AW76" s="52">
        <v>1</v>
      </c>
      <c r="AX76" s="52" t="s">
        <v>402</v>
      </c>
      <c r="AY76" s="70"/>
      <c r="AZ76" s="193"/>
      <c r="BA76" s="47">
        <v>0</v>
      </c>
      <c r="BB76" s="69">
        <v>1</v>
      </c>
      <c r="BC76" s="69"/>
      <c r="BD76" s="69">
        <v>1</v>
      </c>
      <c r="BE76" s="69">
        <v>0</v>
      </c>
      <c r="BF76" s="234">
        <v>0</v>
      </c>
      <c r="BG76" s="766">
        <v>0</v>
      </c>
      <c r="BH76" s="766"/>
      <c r="BI76" s="223">
        <v>0</v>
      </c>
      <c r="BJ76" s="70"/>
      <c r="BK76" s="70">
        <v>0</v>
      </c>
      <c r="BL76" s="70"/>
      <c r="BM76" s="70">
        <v>0</v>
      </c>
      <c r="BN76" s="70"/>
      <c r="BO76" s="70">
        <v>0</v>
      </c>
      <c r="BP76" s="70">
        <v>0</v>
      </c>
      <c r="BQ76" s="70">
        <v>0</v>
      </c>
      <c r="BR76" s="70">
        <v>0</v>
      </c>
      <c r="BS76" s="240">
        <v>0</v>
      </c>
      <c r="BT76" s="223">
        <v>1</v>
      </c>
      <c r="BU76" s="70" t="s">
        <v>1689</v>
      </c>
      <c r="BV76" s="70">
        <v>0</v>
      </c>
      <c r="BW76" s="70">
        <v>1</v>
      </c>
      <c r="BX76" s="70">
        <v>1</v>
      </c>
      <c r="BY76" s="70"/>
      <c r="BZ76" s="70"/>
      <c r="CA76" s="70" t="s">
        <v>1690</v>
      </c>
      <c r="CB76" s="77">
        <v>0</v>
      </c>
      <c r="CC76" s="77">
        <v>1</v>
      </c>
      <c r="CD76" s="77">
        <v>0</v>
      </c>
      <c r="CE76" s="77"/>
      <c r="CF76" s="77"/>
      <c r="CG76" s="70" t="s">
        <v>1691</v>
      </c>
      <c r="CH76" s="70">
        <v>0</v>
      </c>
      <c r="CI76" s="70"/>
      <c r="CJ76" s="70">
        <v>0</v>
      </c>
      <c r="CK76" s="70">
        <v>0</v>
      </c>
      <c r="CL76" s="70">
        <v>0</v>
      </c>
      <c r="CM76" s="47">
        <v>120</v>
      </c>
      <c r="CN76" s="47">
        <v>91</v>
      </c>
      <c r="CP76" s="504">
        <v>31.9</v>
      </c>
      <c r="CQ76" s="504">
        <v>32.5</v>
      </c>
      <c r="CR76" s="54">
        <v>43040</v>
      </c>
      <c r="CS76" s="54">
        <v>43083</v>
      </c>
      <c r="CT76" s="78">
        <v>41</v>
      </c>
      <c r="CU76" s="79">
        <v>44209</v>
      </c>
      <c r="CV76" s="59">
        <v>0</v>
      </c>
      <c r="CW76" s="54"/>
      <c r="CX76" s="59">
        <v>0</v>
      </c>
      <c r="CY76" s="59">
        <v>0</v>
      </c>
      <c r="CZ76" s="59">
        <v>0</v>
      </c>
      <c r="DA76" s="54"/>
      <c r="DB76" s="59">
        <v>0</v>
      </c>
      <c r="DC76" s="54"/>
      <c r="DD76" s="59">
        <v>0</v>
      </c>
      <c r="DE76" s="54"/>
      <c r="DF76" s="59">
        <v>0</v>
      </c>
      <c r="DG76" s="54"/>
      <c r="DH76" s="256" t="s">
        <v>403</v>
      </c>
      <c r="DI76" s="70"/>
      <c r="DJ76" s="50">
        <v>0</v>
      </c>
      <c r="DK76" s="50"/>
      <c r="DL76" s="50"/>
      <c r="DM76" s="50"/>
      <c r="DN76" s="70"/>
      <c r="DO76" s="50"/>
      <c r="DP76" s="70"/>
      <c r="DQ76" s="70"/>
      <c r="DR76" s="70"/>
      <c r="DS76" s="70"/>
      <c r="DT76" s="70"/>
      <c r="DU76" s="70"/>
      <c r="DV76" s="70"/>
      <c r="DW76" s="70"/>
      <c r="DX76" s="70"/>
      <c r="DY76" s="70"/>
      <c r="DZ76" s="70"/>
      <c r="EA76" s="70"/>
      <c r="EB76" s="70"/>
      <c r="EC76" s="70"/>
      <c r="ED76" s="70"/>
      <c r="EE76" s="70"/>
      <c r="EF76" s="70"/>
      <c r="EG76" s="70"/>
      <c r="EH76" s="70"/>
      <c r="EI76" s="70"/>
    </row>
    <row r="77" spans="1:139" s="47" customFormat="1" ht="39.75" customHeight="1">
      <c r="A77" s="50">
        <v>138</v>
      </c>
      <c r="B77" s="54">
        <v>43032</v>
      </c>
      <c r="C77" s="55">
        <v>43032.3125</v>
      </c>
      <c r="D77" s="56">
        <v>38845324</v>
      </c>
      <c r="E77" s="50" t="s">
        <v>404</v>
      </c>
      <c r="F77" s="47" t="b">
        <v>1</v>
      </c>
      <c r="H77" s="50" t="s">
        <v>113</v>
      </c>
      <c r="I77" s="54">
        <v>21639</v>
      </c>
      <c r="J77" s="254">
        <v>58.610958904109587</v>
      </c>
      <c r="K77" s="181">
        <v>703.25443786982248</v>
      </c>
      <c r="L77" s="50" t="s">
        <v>114</v>
      </c>
      <c r="M77" s="186" t="s">
        <v>405</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v>0</v>
      </c>
      <c r="AK77" s="323">
        <f t="shared" si="2"/>
        <v>0</v>
      </c>
      <c r="AL77" s="186"/>
      <c r="AM77" s="58">
        <v>43028</v>
      </c>
      <c r="AN77" s="52" t="s">
        <v>1692</v>
      </c>
      <c r="AO77" s="54">
        <v>43070</v>
      </c>
      <c r="AP77" s="50" t="s">
        <v>1693</v>
      </c>
      <c r="AQ77" s="58">
        <v>43028</v>
      </c>
      <c r="AR77" s="52">
        <v>1</v>
      </c>
      <c r="AS77" s="52" t="s">
        <v>1694</v>
      </c>
      <c r="AT77" s="323">
        <v>0</v>
      </c>
      <c r="AU77" s="52">
        <v>1</v>
      </c>
      <c r="AV77" s="52">
        <v>0</v>
      </c>
      <c r="AW77" s="52">
        <v>1</v>
      </c>
      <c r="AX77" s="50" t="s">
        <v>406</v>
      </c>
      <c r="AY77" s="70"/>
      <c r="AZ77" s="193" t="s">
        <v>1680</v>
      </c>
      <c r="BA77" s="47">
        <v>0</v>
      </c>
      <c r="BB77" s="69">
        <v>1</v>
      </c>
      <c r="BC77" s="69"/>
      <c r="BD77" s="69">
        <v>0</v>
      </c>
      <c r="BE77" s="69">
        <v>0</v>
      </c>
      <c r="BF77" s="234">
        <v>0</v>
      </c>
      <c r="BG77" s="766">
        <v>0</v>
      </c>
      <c r="BH77" s="766"/>
      <c r="BI77" s="223">
        <v>0</v>
      </c>
      <c r="BJ77" s="70"/>
      <c r="BK77" s="70">
        <v>0</v>
      </c>
      <c r="BL77" s="70"/>
      <c r="BM77" s="70">
        <v>0</v>
      </c>
      <c r="BN77" s="70"/>
      <c r="BO77" s="70">
        <v>0</v>
      </c>
      <c r="BP77" s="70">
        <v>0</v>
      </c>
      <c r="BQ77" s="70">
        <v>0</v>
      </c>
      <c r="BR77" s="70">
        <v>0</v>
      </c>
      <c r="BS77" s="240">
        <v>0</v>
      </c>
      <c r="BT77" s="252">
        <v>1</v>
      </c>
      <c r="BU77" s="253" t="s">
        <v>1695</v>
      </c>
      <c r="BV77" s="253">
        <v>0</v>
      </c>
      <c r="BW77" s="253">
        <v>0</v>
      </c>
      <c r="BX77" s="70">
        <v>0</v>
      </c>
      <c r="BY77" s="70"/>
      <c r="BZ77" s="70"/>
      <c r="CA77" s="70"/>
      <c r="CB77" s="70">
        <v>0</v>
      </c>
      <c r="CC77" s="70">
        <v>0</v>
      </c>
      <c r="CD77" s="70">
        <v>0</v>
      </c>
      <c r="CE77" s="70"/>
      <c r="CF77" s="70"/>
      <c r="CG77" s="70"/>
      <c r="CH77" s="70">
        <v>0</v>
      </c>
      <c r="CI77" s="70"/>
      <c r="CJ77" s="70">
        <v>0</v>
      </c>
      <c r="CK77" s="70">
        <v>0</v>
      </c>
      <c r="CL77" s="70">
        <v>0</v>
      </c>
      <c r="CM77" s="47">
        <v>127</v>
      </c>
      <c r="CN77" s="47">
        <v>87</v>
      </c>
      <c r="CP77" s="504">
        <v>30.3</v>
      </c>
      <c r="CQ77" s="504">
        <v>32.299999999999997</v>
      </c>
      <c r="CR77" s="54">
        <v>43028</v>
      </c>
      <c r="CS77" s="54">
        <v>43052</v>
      </c>
      <c r="CT77" s="78">
        <v>20</v>
      </c>
      <c r="CU77" s="79">
        <v>44012</v>
      </c>
      <c r="CV77" s="59">
        <v>0</v>
      </c>
      <c r="CW77" s="54"/>
      <c r="CX77" s="59">
        <v>0</v>
      </c>
      <c r="CY77" s="59">
        <v>0</v>
      </c>
      <c r="CZ77" s="59">
        <v>0</v>
      </c>
      <c r="DA77" s="54"/>
      <c r="DB77" s="59">
        <v>0</v>
      </c>
      <c r="DC77" s="54"/>
      <c r="DD77" s="59">
        <v>0</v>
      </c>
      <c r="DE77" s="54"/>
      <c r="DF77" s="59">
        <v>0</v>
      </c>
      <c r="DG77" s="54"/>
      <c r="DH77" s="54"/>
      <c r="DI77" s="70"/>
      <c r="DJ77" s="50">
        <v>0</v>
      </c>
      <c r="DK77" s="50"/>
      <c r="DL77" s="50"/>
      <c r="DM77" s="50"/>
      <c r="DN77" s="70"/>
      <c r="DO77" s="50"/>
      <c r="DP77" s="70"/>
      <c r="DQ77" s="70"/>
      <c r="DR77" s="70"/>
      <c r="DS77" s="70"/>
      <c r="DT77" s="70"/>
      <c r="DU77" s="70"/>
      <c r="DV77" s="70"/>
      <c r="DW77" s="70"/>
      <c r="DX77" s="70"/>
      <c r="DY77" s="70"/>
      <c r="DZ77" s="70"/>
      <c r="EA77" s="70"/>
      <c r="EB77" s="70"/>
      <c r="EC77" s="70"/>
      <c r="ED77" s="70"/>
      <c r="EE77" s="70"/>
      <c r="EF77" s="70"/>
      <c r="EG77" s="70"/>
      <c r="EH77" s="70"/>
      <c r="EI77" s="70"/>
    </row>
    <row r="78" spans="1:139" s="47" customFormat="1" ht="39.75" customHeight="1">
      <c r="A78" s="50">
        <v>140</v>
      </c>
      <c r="B78" s="54">
        <v>43018</v>
      </c>
      <c r="C78" s="55">
        <v>43018.333333333336</v>
      </c>
      <c r="D78" s="56">
        <v>38390477</v>
      </c>
      <c r="E78" s="50" t="s">
        <v>407</v>
      </c>
      <c r="F78" s="47" t="b">
        <v>1</v>
      </c>
      <c r="H78" s="50" t="s">
        <v>129</v>
      </c>
      <c r="I78" s="54">
        <v>27624</v>
      </c>
      <c r="J78" s="254">
        <v>42.175342465753424</v>
      </c>
      <c r="K78" s="181">
        <v>506.04865220249832</v>
      </c>
      <c r="L78" s="50" t="s">
        <v>114</v>
      </c>
      <c r="M78" s="186" t="s">
        <v>408</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v>0</v>
      </c>
      <c r="AK78" s="323">
        <f t="shared" si="2"/>
        <v>0</v>
      </c>
      <c r="AL78" s="186"/>
      <c r="AM78" s="58">
        <v>42980</v>
      </c>
      <c r="AN78" s="52" t="s">
        <v>1530</v>
      </c>
      <c r="AO78" s="54">
        <v>43045</v>
      </c>
      <c r="AP78" s="50" t="s">
        <v>409</v>
      </c>
      <c r="AQ78" s="58">
        <v>42979</v>
      </c>
      <c r="AR78" s="52">
        <v>1</v>
      </c>
      <c r="AS78" s="52" t="s">
        <v>410</v>
      </c>
      <c r="AT78" s="323">
        <v>0</v>
      </c>
      <c r="AU78" s="52">
        <v>0</v>
      </c>
      <c r="AV78" s="52">
        <v>0</v>
      </c>
      <c r="AW78" s="52">
        <v>1</v>
      </c>
      <c r="AX78" s="52" t="s">
        <v>411</v>
      </c>
      <c r="AY78" s="70"/>
      <c r="AZ78" s="193" t="s">
        <v>1537</v>
      </c>
      <c r="BA78" s="47">
        <v>0</v>
      </c>
      <c r="BB78" s="69">
        <v>1</v>
      </c>
      <c r="BC78" s="69"/>
      <c r="BD78" s="69">
        <v>0</v>
      </c>
      <c r="BE78" s="69">
        <v>0</v>
      </c>
      <c r="BF78" s="234">
        <v>1</v>
      </c>
      <c r="BG78" s="766">
        <v>0</v>
      </c>
      <c r="BH78" s="766"/>
      <c r="BI78" s="223">
        <v>1</v>
      </c>
      <c r="BJ78" s="70"/>
      <c r="BK78" s="70">
        <v>1</v>
      </c>
      <c r="BL78" s="70"/>
      <c r="BM78" s="80">
        <v>1</v>
      </c>
      <c r="BN78" s="80" t="s">
        <v>1696</v>
      </c>
      <c r="BO78" s="80">
        <v>0</v>
      </c>
      <c r="BP78" s="80">
        <v>1</v>
      </c>
      <c r="BQ78" s="80">
        <v>1</v>
      </c>
      <c r="BR78" s="80">
        <v>0</v>
      </c>
      <c r="BS78" s="240">
        <v>0</v>
      </c>
      <c r="BT78" s="223">
        <v>0</v>
      </c>
      <c r="BU78" s="70"/>
      <c r="BV78" s="70">
        <v>0</v>
      </c>
      <c r="BW78" s="70">
        <v>0</v>
      </c>
      <c r="BX78" s="70">
        <v>0</v>
      </c>
      <c r="BY78" s="70"/>
      <c r="BZ78" s="70"/>
      <c r="CA78" s="70"/>
      <c r="CB78" s="77">
        <v>0</v>
      </c>
      <c r="CC78" s="77">
        <v>0</v>
      </c>
      <c r="CD78" s="77">
        <v>0</v>
      </c>
      <c r="CE78" s="77"/>
      <c r="CF78" s="77"/>
      <c r="CG78" s="70"/>
      <c r="CH78" s="70">
        <v>0</v>
      </c>
      <c r="CI78" s="70"/>
      <c r="CJ78" s="70">
        <v>0</v>
      </c>
      <c r="CK78" s="70">
        <v>0</v>
      </c>
      <c r="CL78" s="70">
        <v>0</v>
      </c>
      <c r="CM78" s="47">
        <v>165</v>
      </c>
      <c r="CN78" s="47">
        <v>79</v>
      </c>
      <c r="CP78" s="504">
        <v>28.6</v>
      </c>
      <c r="CQ78" s="504">
        <v>29.1</v>
      </c>
      <c r="CR78" s="54">
        <v>42979</v>
      </c>
      <c r="CS78" s="54">
        <v>43032</v>
      </c>
      <c r="CT78" s="78">
        <v>14</v>
      </c>
      <c r="CU78" s="79">
        <v>43307</v>
      </c>
      <c r="CV78" s="59">
        <v>0</v>
      </c>
      <c r="CW78" s="54"/>
      <c r="CX78" s="59">
        <v>0</v>
      </c>
      <c r="CY78" s="59">
        <v>0</v>
      </c>
      <c r="CZ78" s="59">
        <v>0</v>
      </c>
      <c r="DA78" s="54"/>
      <c r="DB78" s="59">
        <v>0</v>
      </c>
      <c r="DC78" s="54"/>
      <c r="DD78" s="59">
        <v>0</v>
      </c>
      <c r="DE78" s="54"/>
      <c r="DF78" s="59">
        <v>0</v>
      </c>
      <c r="DG78" s="54"/>
      <c r="DH78" s="66" t="s">
        <v>412</v>
      </c>
      <c r="DI78" s="70"/>
      <c r="DJ78" s="50">
        <v>0</v>
      </c>
      <c r="DK78" s="50"/>
      <c r="DL78" s="50"/>
      <c r="DM78" s="50"/>
      <c r="DN78" s="70"/>
      <c r="DO78" s="50"/>
      <c r="DP78" s="70"/>
      <c r="DQ78" s="70"/>
      <c r="DR78" s="70"/>
      <c r="DS78" s="70"/>
      <c r="DT78" s="70"/>
      <c r="DU78" s="70"/>
      <c r="DV78" s="70"/>
      <c r="DW78" s="70"/>
      <c r="DX78" s="70"/>
      <c r="DY78" s="70"/>
      <c r="DZ78" s="70"/>
      <c r="EA78" s="70"/>
      <c r="EB78" s="70"/>
      <c r="EC78" s="70"/>
      <c r="ED78" s="70"/>
      <c r="EE78" s="70"/>
      <c r="EF78" s="70"/>
      <c r="EG78" s="70"/>
      <c r="EH78" s="70"/>
      <c r="EI78" s="70"/>
    </row>
    <row r="79" spans="1:139" s="47" customFormat="1" ht="39.75" customHeight="1">
      <c r="A79" s="50">
        <v>144</v>
      </c>
      <c r="B79" s="54">
        <v>42986</v>
      </c>
      <c r="C79" s="55">
        <v>42986.498611111114</v>
      </c>
      <c r="D79" s="56">
        <v>17615223</v>
      </c>
      <c r="E79" s="50" t="s">
        <v>413</v>
      </c>
      <c r="F79" s="47" t="b">
        <v>1</v>
      </c>
      <c r="H79" s="50" t="s">
        <v>113</v>
      </c>
      <c r="I79" s="54">
        <v>17452</v>
      </c>
      <c r="J79" s="254">
        <v>69.956164383561642</v>
      </c>
      <c r="K79" s="181">
        <v>839.38198553583163</v>
      </c>
      <c r="L79" s="50" t="s">
        <v>125</v>
      </c>
      <c r="M79" s="186" t="s">
        <v>414</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v>0</v>
      </c>
      <c r="AK79" s="323">
        <f t="shared" si="2"/>
        <v>0</v>
      </c>
      <c r="AL79" s="186"/>
      <c r="AM79" s="58">
        <v>42975</v>
      </c>
      <c r="AN79" s="52" t="s">
        <v>1697</v>
      </c>
      <c r="AO79" s="54">
        <v>43034</v>
      </c>
      <c r="AP79" s="50" t="s">
        <v>187</v>
      </c>
      <c r="AQ79" s="58">
        <v>42974</v>
      </c>
      <c r="AR79" s="52">
        <v>0</v>
      </c>
      <c r="AS79" s="52"/>
      <c r="AT79" s="323">
        <v>0</v>
      </c>
      <c r="AU79" s="52">
        <v>0</v>
      </c>
      <c r="AV79" s="52">
        <v>1</v>
      </c>
      <c r="AW79" s="52">
        <v>1</v>
      </c>
      <c r="AX79" s="52" t="s">
        <v>415</v>
      </c>
      <c r="AY79" s="70"/>
      <c r="AZ79" s="193" t="s">
        <v>1685</v>
      </c>
      <c r="BA79" s="47">
        <v>0</v>
      </c>
      <c r="BB79" s="69">
        <v>1</v>
      </c>
      <c r="BC79" s="69"/>
      <c r="BD79" s="69">
        <v>0</v>
      </c>
      <c r="BE79" s="69">
        <v>0</v>
      </c>
      <c r="BF79" s="234">
        <v>1</v>
      </c>
      <c r="BG79" s="766">
        <v>0</v>
      </c>
      <c r="BH79" s="766"/>
      <c r="BI79" s="223">
        <v>1</v>
      </c>
      <c r="BJ79" s="70"/>
      <c r="BK79" s="70">
        <v>1</v>
      </c>
      <c r="BL79" s="70" t="s">
        <v>1698</v>
      </c>
      <c r="BM79" s="70">
        <v>0</v>
      </c>
      <c r="BN79" s="70"/>
      <c r="BO79" s="70">
        <v>0</v>
      </c>
      <c r="BP79" s="70">
        <v>0</v>
      </c>
      <c r="BQ79" s="70">
        <v>0</v>
      </c>
      <c r="BR79" s="70">
        <v>0</v>
      </c>
      <c r="BS79" s="240">
        <v>0</v>
      </c>
      <c r="BT79" s="223">
        <v>0</v>
      </c>
      <c r="BU79" s="70"/>
      <c r="BV79" s="70">
        <v>0</v>
      </c>
      <c r="BW79" s="70">
        <v>0</v>
      </c>
      <c r="BX79" s="70">
        <v>0</v>
      </c>
      <c r="BY79" s="70"/>
      <c r="BZ79" s="70"/>
      <c r="CA79" s="70"/>
      <c r="CB79" s="77">
        <v>0</v>
      </c>
      <c r="CC79" s="77">
        <v>0</v>
      </c>
      <c r="CD79" s="77">
        <v>0</v>
      </c>
      <c r="CE79" s="77"/>
      <c r="CF79" s="77"/>
      <c r="CG79" s="70"/>
      <c r="CH79" s="70">
        <v>0</v>
      </c>
      <c r="CI79" s="70"/>
      <c r="CJ79" s="70">
        <v>0</v>
      </c>
      <c r="CK79" s="70">
        <v>0</v>
      </c>
      <c r="CL79" s="70">
        <v>0</v>
      </c>
      <c r="CM79" s="47">
        <v>62</v>
      </c>
      <c r="CN79" s="47">
        <v>36</v>
      </c>
      <c r="CP79" s="504">
        <v>32.5</v>
      </c>
      <c r="CQ79" s="504">
        <v>33.5</v>
      </c>
      <c r="CR79" s="54">
        <v>42974</v>
      </c>
      <c r="CS79" s="54">
        <v>43044</v>
      </c>
      <c r="CT79" s="78">
        <v>58</v>
      </c>
      <c r="CU79" s="79">
        <v>44287</v>
      </c>
      <c r="CV79" s="59">
        <v>0</v>
      </c>
      <c r="CW79" s="54"/>
      <c r="CX79" s="59">
        <v>0</v>
      </c>
      <c r="CY79" s="59">
        <v>0</v>
      </c>
      <c r="CZ79" s="59">
        <v>0</v>
      </c>
      <c r="DA79" s="54"/>
      <c r="DB79" s="59">
        <v>0</v>
      </c>
      <c r="DC79" s="54"/>
      <c r="DD79" s="59">
        <v>0</v>
      </c>
      <c r="DE79" s="54"/>
      <c r="DF79" s="59">
        <v>0</v>
      </c>
      <c r="DG79" s="54"/>
      <c r="DH79" s="66" t="s">
        <v>416</v>
      </c>
      <c r="DI79" s="70"/>
      <c r="DJ79" s="50">
        <v>0</v>
      </c>
      <c r="DK79" s="50"/>
      <c r="DL79" s="50"/>
      <c r="DM79" s="50"/>
      <c r="DN79" s="70"/>
      <c r="DO79" s="50"/>
      <c r="DP79" s="70"/>
      <c r="DQ79" s="70"/>
      <c r="DR79" s="70"/>
      <c r="DS79" s="70"/>
      <c r="DT79" s="70"/>
      <c r="DU79" s="70"/>
      <c r="DV79" s="70"/>
      <c r="DW79" s="70"/>
      <c r="DX79" s="70"/>
      <c r="DY79" s="70"/>
      <c r="DZ79" s="70"/>
      <c r="EA79" s="70"/>
      <c r="EB79" s="70"/>
      <c r="EC79" s="70"/>
      <c r="ED79" s="70"/>
      <c r="EE79" s="70"/>
      <c r="EF79" s="70"/>
      <c r="EG79" s="70"/>
      <c r="EH79" s="70"/>
      <c r="EI79" s="70"/>
    </row>
    <row r="80" spans="1:139" s="48" customFormat="1" ht="39.75" customHeight="1">
      <c r="A80" s="60">
        <v>146</v>
      </c>
      <c r="B80" s="61">
        <v>42985</v>
      </c>
      <c r="C80" s="62">
        <v>42985.654861111114</v>
      </c>
      <c r="D80" s="63">
        <v>37333383</v>
      </c>
      <c r="E80" s="60" t="s">
        <v>417</v>
      </c>
      <c r="F80" s="48" t="b">
        <v>0</v>
      </c>
      <c r="G80" s="48" t="s">
        <v>1699</v>
      </c>
      <c r="H80" s="60" t="s">
        <v>418</v>
      </c>
      <c r="I80" s="61">
        <v>29341</v>
      </c>
      <c r="J80" s="110">
        <v>37.38082191780822</v>
      </c>
      <c r="K80" s="85">
        <v>448.52071005917156</v>
      </c>
      <c r="L80" s="60" t="s">
        <v>419</v>
      </c>
      <c r="M80" s="187" t="s">
        <v>420</v>
      </c>
      <c r="N80" s="48">
        <v>182</v>
      </c>
      <c r="O80" s="48">
        <v>100</v>
      </c>
      <c r="P80" s="48">
        <f t="shared" si="3"/>
        <v>30.189590629151066</v>
      </c>
      <c r="Q80" s="51"/>
      <c r="V80" s="51"/>
      <c r="Y80" s="216"/>
      <c r="Z80" s="336"/>
      <c r="AA80" s="324"/>
      <c r="AB80" s="324"/>
      <c r="AC80" s="324"/>
      <c r="AD80" s="324"/>
      <c r="AE80" s="324"/>
      <c r="AF80" s="324"/>
      <c r="AG80" s="324"/>
      <c r="AH80" s="324"/>
      <c r="AI80" s="324"/>
      <c r="AJ80" s="324"/>
      <c r="AK80" s="324">
        <f t="shared" si="2"/>
        <v>1</v>
      </c>
      <c r="AL80" s="187"/>
      <c r="AM80" s="191"/>
      <c r="AN80" s="51"/>
      <c r="AO80" s="61"/>
      <c r="AP80" s="60"/>
      <c r="AQ80" s="191"/>
      <c r="AR80" s="51"/>
      <c r="AS80" s="51"/>
      <c r="AT80" s="324"/>
      <c r="AU80" s="51"/>
      <c r="AV80" s="51"/>
      <c r="AW80" s="51"/>
      <c r="AX80" s="60" t="s">
        <v>421</v>
      </c>
      <c r="AY80" s="71"/>
      <c r="AZ80" s="91"/>
      <c r="BB80" s="82"/>
      <c r="BC80" s="82"/>
      <c r="BD80" s="82"/>
      <c r="BE80" s="82"/>
      <c r="BF80" s="235"/>
      <c r="BG80" s="767"/>
      <c r="BH80" s="767"/>
      <c r="BI80" s="224"/>
      <c r="BJ80" s="71"/>
      <c r="BK80" s="71"/>
      <c r="BL80" s="71"/>
      <c r="BM80" s="71"/>
      <c r="BN80" s="71"/>
      <c r="BO80" s="71"/>
      <c r="BP80" s="71"/>
      <c r="BQ80" s="71"/>
      <c r="BR80" s="71"/>
      <c r="BS80" s="241"/>
      <c r="BT80" s="224"/>
      <c r="BU80" s="71"/>
      <c r="BV80" s="71"/>
      <c r="BW80" s="71"/>
      <c r="BX80" s="71"/>
      <c r="BY80" s="71"/>
      <c r="BZ80" s="71"/>
      <c r="CA80" s="71"/>
      <c r="CB80" s="71"/>
      <c r="CC80" s="71"/>
      <c r="CD80" s="71"/>
      <c r="CE80" s="71"/>
      <c r="CF80" s="71"/>
      <c r="CG80" s="71"/>
      <c r="CH80" s="71"/>
      <c r="CI80" s="71"/>
      <c r="CJ80" s="71"/>
      <c r="CK80" s="71"/>
      <c r="CL80" s="71"/>
      <c r="CM80" s="48">
        <v>138</v>
      </c>
      <c r="CN80" s="48">
        <v>101</v>
      </c>
      <c r="CP80" s="505">
        <v>30.2</v>
      </c>
      <c r="CQ80" s="505">
        <v>31.2</v>
      </c>
      <c r="CR80" s="61">
        <v>42981</v>
      </c>
      <c r="CS80" s="61">
        <v>42998</v>
      </c>
      <c r="CT80" s="83">
        <v>13</v>
      </c>
      <c r="CU80" s="84"/>
      <c r="CV80" s="65"/>
      <c r="CW80" s="61"/>
      <c r="CX80" s="65"/>
      <c r="CY80" s="65"/>
      <c r="CZ80" s="65"/>
      <c r="DA80" s="61"/>
      <c r="DB80" s="65"/>
      <c r="DC80" s="61"/>
      <c r="DD80" s="65"/>
      <c r="DE80" s="61"/>
      <c r="DF80" s="65"/>
      <c r="DG80" s="61"/>
      <c r="DH80" s="61"/>
      <c r="DI80" s="71"/>
      <c r="DJ80" s="60">
        <v>0</v>
      </c>
      <c r="DK80" s="60"/>
      <c r="DL80" s="60"/>
      <c r="DM80" s="60"/>
      <c r="DN80" s="71"/>
      <c r="DO80" s="60"/>
      <c r="DP80" s="71"/>
      <c r="DQ80" s="71"/>
      <c r="DR80" s="71"/>
      <c r="DS80" s="71"/>
      <c r="DT80" s="71"/>
      <c r="DU80" s="71"/>
      <c r="DV80" s="71"/>
      <c r="DW80" s="71"/>
      <c r="DX80" s="71"/>
      <c r="DY80" s="71"/>
      <c r="DZ80" s="71"/>
      <c r="EA80" s="71"/>
      <c r="EB80" s="71"/>
      <c r="EC80" s="71"/>
      <c r="ED80" s="71"/>
      <c r="EE80" s="71"/>
      <c r="EF80" s="71"/>
      <c r="EG80" s="71"/>
      <c r="EH80" s="71"/>
      <c r="EI80" s="71"/>
    </row>
    <row r="81" spans="1:139" s="48" customFormat="1" ht="39.75" customHeight="1">
      <c r="A81" s="60">
        <v>147</v>
      </c>
      <c r="B81" s="61">
        <v>42977</v>
      </c>
      <c r="C81" s="62">
        <v>42977.316666666666</v>
      </c>
      <c r="D81" s="63">
        <v>15902844</v>
      </c>
      <c r="E81" s="60" t="s">
        <v>422</v>
      </c>
      <c r="F81" s="48" t="b">
        <v>0</v>
      </c>
      <c r="G81" s="48" t="s">
        <v>1699</v>
      </c>
      <c r="H81" s="60" t="s">
        <v>129</v>
      </c>
      <c r="I81" s="61">
        <v>29731</v>
      </c>
      <c r="J81" s="94">
        <v>36.290410958904111</v>
      </c>
      <c r="K81" s="85">
        <v>435.43721236028927</v>
      </c>
      <c r="L81" s="60" t="s">
        <v>121</v>
      </c>
      <c r="M81" s="187" t="s">
        <v>423</v>
      </c>
      <c r="N81" s="48">
        <v>163</v>
      </c>
      <c r="O81" s="48">
        <v>64.3</v>
      </c>
      <c r="P81" s="48">
        <f t="shared" si="3"/>
        <v>24.201136663028343</v>
      </c>
      <c r="Q81" s="51"/>
      <c r="V81" s="51"/>
      <c r="Y81" s="216"/>
      <c r="Z81" s="336"/>
      <c r="AA81" s="324"/>
      <c r="AB81" s="324"/>
      <c r="AC81" s="324"/>
      <c r="AD81" s="324"/>
      <c r="AE81" s="324"/>
      <c r="AF81" s="324"/>
      <c r="AG81" s="324"/>
      <c r="AH81" s="324"/>
      <c r="AI81" s="324"/>
      <c r="AJ81" s="324"/>
      <c r="AK81" s="324">
        <f t="shared" si="2"/>
        <v>0</v>
      </c>
      <c r="AL81" s="187"/>
      <c r="AM81" s="191"/>
      <c r="AN81" s="51"/>
      <c r="AO81" s="61"/>
      <c r="AP81" s="60"/>
      <c r="AQ81" s="191"/>
      <c r="AR81" s="51"/>
      <c r="AS81" s="51"/>
      <c r="AT81" s="324"/>
      <c r="AU81" s="51"/>
      <c r="AV81" s="51"/>
      <c r="AW81" s="51"/>
      <c r="AX81" s="51" t="s">
        <v>425</v>
      </c>
      <c r="AY81" s="71">
        <v>1</v>
      </c>
      <c r="AZ81" s="91"/>
      <c r="BB81" s="82"/>
      <c r="BC81" s="82"/>
      <c r="BD81" s="82"/>
      <c r="BE81" s="82"/>
      <c r="BF81" s="235"/>
      <c r="BG81" s="767"/>
      <c r="BH81" s="767"/>
      <c r="BI81" s="224"/>
      <c r="BJ81" s="71"/>
      <c r="BK81" s="71"/>
      <c r="BL81" s="71"/>
      <c r="BM81" s="71"/>
      <c r="BN81" s="71"/>
      <c r="BO81" s="71"/>
      <c r="BP81" s="71"/>
      <c r="BQ81" s="71"/>
      <c r="BR81" s="71"/>
      <c r="BS81" s="241"/>
      <c r="BT81" s="239"/>
      <c r="BU81" s="118"/>
      <c r="BV81" s="118"/>
      <c r="BW81" s="118"/>
      <c r="BX81" s="71"/>
      <c r="BY81" s="71"/>
      <c r="BZ81" s="71"/>
      <c r="CA81" s="71"/>
      <c r="CB81" s="71"/>
      <c r="CC81" s="71"/>
      <c r="CD81" s="71"/>
      <c r="CE81" s="71"/>
      <c r="CF81" s="71"/>
      <c r="CG81" s="71"/>
      <c r="CH81" s="71"/>
      <c r="CI81" s="71"/>
      <c r="CJ81" s="71"/>
      <c r="CK81" s="71"/>
      <c r="CL81" s="71"/>
      <c r="CM81" s="48">
        <v>164</v>
      </c>
      <c r="CN81" s="48">
        <v>148</v>
      </c>
      <c r="CP81" s="505">
        <v>29.2</v>
      </c>
      <c r="CQ81" s="505">
        <v>30</v>
      </c>
      <c r="CR81" s="61">
        <v>42975</v>
      </c>
      <c r="CS81" s="61">
        <v>42991</v>
      </c>
      <c r="CT81" s="83">
        <v>14</v>
      </c>
      <c r="CU81" s="84"/>
      <c r="CV81" s="65"/>
      <c r="CW81" s="61"/>
      <c r="CX81" s="65"/>
      <c r="CY81" s="65"/>
      <c r="CZ81" s="65"/>
      <c r="DA81" s="61"/>
      <c r="DB81" s="65"/>
      <c r="DC81" s="61"/>
      <c r="DD81" s="65"/>
      <c r="DE81" s="61"/>
      <c r="DF81" s="65"/>
      <c r="DG81" s="61"/>
      <c r="DH81" s="61"/>
      <c r="DI81" s="71"/>
      <c r="DJ81" s="60">
        <v>1</v>
      </c>
      <c r="DK81" s="60"/>
      <c r="DL81" s="60" t="b">
        <v>1</v>
      </c>
      <c r="DM81" s="60"/>
      <c r="DN81" s="108">
        <v>42991</v>
      </c>
      <c r="DO81" s="60" t="s">
        <v>426</v>
      </c>
      <c r="DP81" s="71"/>
      <c r="DQ81" s="71"/>
      <c r="DR81" s="71"/>
      <c r="DS81" s="71"/>
      <c r="DT81" s="71"/>
      <c r="DU81" s="71"/>
      <c r="DV81" s="71"/>
      <c r="DW81" s="71"/>
      <c r="DX81" s="71"/>
      <c r="DY81" s="71"/>
      <c r="DZ81" s="71"/>
      <c r="EA81" s="71"/>
      <c r="EB81" s="71"/>
      <c r="EC81" s="71"/>
      <c r="ED81" s="71"/>
      <c r="EE81" s="71"/>
      <c r="EF81" s="71"/>
      <c r="EG81" s="71"/>
      <c r="EH81" s="71"/>
      <c r="EI81" s="71"/>
    </row>
    <row r="82" spans="1:139" s="47" customFormat="1" ht="39.75" customHeight="1">
      <c r="A82" s="50">
        <v>148</v>
      </c>
      <c r="B82" s="54">
        <v>42974</v>
      </c>
      <c r="C82" s="55">
        <v>42974.366666666669</v>
      </c>
      <c r="D82" s="56">
        <v>38531953</v>
      </c>
      <c r="E82" s="50" t="s">
        <v>427</v>
      </c>
      <c r="F82" s="47" t="b">
        <v>1</v>
      </c>
      <c r="H82" s="50" t="s">
        <v>113</v>
      </c>
      <c r="I82" s="54">
        <v>17134</v>
      </c>
      <c r="J82" s="255">
        <v>70.794520547945211</v>
      </c>
      <c r="K82" s="181">
        <v>849.4411571334648</v>
      </c>
      <c r="L82" s="50" t="s">
        <v>114</v>
      </c>
      <c r="M82" s="186" t="s">
        <v>428</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59">
        <v>0</v>
      </c>
      <c r="AK82" s="323">
        <f t="shared" si="2"/>
        <v>0</v>
      </c>
      <c r="AL82" s="257"/>
      <c r="AM82" s="54">
        <v>42963</v>
      </c>
      <c r="AN82" s="50" t="s">
        <v>1688</v>
      </c>
      <c r="AO82" s="54">
        <v>43005</v>
      </c>
      <c r="AP82" s="50" t="s">
        <v>1700</v>
      </c>
      <c r="AQ82" s="54">
        <v>42964</v>
      </c>
      <c r="AR82" s="50">
        <v>1</v>
      </c>
      <c r="AS82" s="50" t="s">
        <v>1694</v>
      </c>
      <c r="AT82" s="59">
        <v>0</v>
      </c>
      <c r="AU82" s="50">
        <v>0</v>
      </c>
      <c r="AV82" s="50">
        <v>0</v>
      </c>
      <c r="AW82" s="50">
        <v>1</v>
      </c>
      <c r="AX82" s="50" t="s">
        <v>429</v>
      </c>
      <c r="AY82" s="70"/>
      <c r="AZ82" s="193"/>
      <c r="BA82" s="47">
        <v>0</v>
      </c>
      <c r="BB82" s="69">
        <v>1</v>
      </c>
      <c r="BC82" s="69"/>
      <c r="BD82" s="69">
        <v>0</v>
      </c>
      <c r="BE82" s="69">
        <v>0</v>
      </c>
      <c r="BF82" s="234">
        <v>0</v>
      </c>
      <c r="BG82" s="766">
        <v>0</v>
      </c>
      <c r="BH82" s="766"/>
      <c r="BI82" s="223">
        <v>0</v>
      </c>
      <c r="BJ82" s="70"/>
      <c r="BK82" s="70">
        <v>0</v>
      </c>
      <c r="BL82" s="70"/>
      <c r="BM82" s="70">
        <v>0</v>
      </c>
      <c r="BN82" s="70"/>
      <c r="BO82" s="70">
        <v>0</v>
      </c>
      <c r="BP82" s="70">
        <v>0</v>
      </c>
      <c r="BQ82" s="70">
        <v>0</v>
      </c>
      <c r="BR82" s="70">
        <v>0</v>
      </c>
      <c r="BS82" s="240">
        <v>0</v>
      </c>
      <c r="BT82" s="223">
        <v>1</v>
      </c>
      <c r="BU82" s="70" t="s">
        <v>1701</v>
      </c>
      <c r="BV82" s="70">
        <v>0</v>
      </c>
      <c r="BW82" s="70">
        <v>0</v>
      </c>
      <c r="BX82" s="70">
        <v>0</v>
      </c>
      <c r="BY82" s="70"/>
      <c r="BZ82" s="70"/>
      <c r="CA82" s="70"/>
      <c r="CB82" s="70">
        <v>0</v>
      </c>
      <c r="CC82" s="70">
        <v>0</v>
      </c>
      <c r="CD82" s="70">
        <v>0</v>
      </c>
      <c r="CE82" s="70"/>
      <c r="CF82" s="70"/>
      <c r="CG82" s="70"/>
      <c r="CH82" s="70">
        <v>0</v>
      </c>
      <c r="CI82" s="70"/>
      <c r="CJ82" s="70">
        <v>0</v>
      </c>
      <c r="CK82" s="70">
        <v>0</v>
      </c>
      <c r="CL82" s="70">
        <v>0</v>
      </c>
      <c r="CM82" s="47">
        <v>68</v>
      </c>
      <c r="CN82" s="47">
        <v>53</v>
      </c>
      <c r="CP82" s="504">
        <v>31.5</v>
      </c>
      <c r="CQ82" s="504">
        <v>33.200000000000003</v>
      </c>
      <c r="CR82" s="54">
        <v>42971</v>
      </c>
      <c r="CS82" s="54">
        <v>42989</v>
      </c>
      <c r="CT82" s="78">
        <v>15</v>
      </c>
      <c r="CU82" s="79">
        <v>44229</v>
      </c>
      <c r="CV82" s="59">
        <v>0</v>
      </c>
      <c r="CW82" s="54"/>
      <c r="CX82" s="59">
        <v>0</v>
      </c>
      <c r="CY82" s="59">
        <v>0</v>
      </c>
      <c r="CZ82" s="59">
        <v>0</v>
      </c>
      <c r="DA82" s="54"/>
      <c r="DB82" s="59">
        <v>0</v>
      </c>
      <c r="DC82" s="54"/>
      <c r="DD82" s="59">
        <v>0</v>
      </c>
      <c r="DE82" s="54"/>
      <c r="DF82" s="59">
        <v>0</v>
      </c>
      <c r="DG82" s="54"/>
      <c r="DH82" s="54"/>
      <c r="DI82" s="70"/>
      <c r="DJ82" s="50">
        <v>0</v>
      </c>
      <c r="DK82" s="50"/>
      <c r="DL82" s="50"/>
      <c r="DM82" s="50"/>
      <c r="DN82" s="70"/>
      <c r="DO82" s="50"/>
      <c r="DP82" s="70"/>
      <c r="DQ82" s="70"/>
      <c r="DR82" s="70"/>
      <c r="DS82" s="70"/>
      <c r="DT82" s="70"/>
      <c r="DU82" s="70"/>
      <c r="DV82" s="70"/>
      <c r="DW82" s="70"/>
      <c r="DX82" s="70"/>
      <c r="DY82" s="70"/>
      <c r="DZ82" s="70"/>
      <c r="EA82" s="70"/>
      <c r="EB82" s="70"/>
      <c r="EC82" s="70"/>
      <c r="ED82" s="70"/>
      <c r="EE82" s="70"/>
      <c r="EF82" s="70"/>
      <c r="EG82" s="70"/>
      <c r="EH82" s="70"/>
      <c r="EI82" s="70"/>
    </row>
    <row r="83" spans="1:139" s="48" customFormat="1" ht="39.75" customHeight="1">
      <c r="A83" s="60">
        <v>152</v>
      </c>
      <c r="B83" s="61">
        <v>42957</v>
      </c>
      <c r="C83" s="62">
        <v>42957.322916666664</v>
      </c>
      <c r="D83" s="63">
        <v>12329936</v>
      </c>
      <c r="E83" s="60" t="s">
        <v>430</v>
      </c>
      <c r="F83" s="48" t="b">
        <v>0</v>
      </c>
      <c r="G83" s="48" t="s">
        <v>1674</v>
      </c>
      <c r="H83" s="60" t="s">
        <v>113</v>
      </c>
      <c r="I83" s="61">
        <v>21588</v>
      </c>
      <c r="J83" s="110">
        <v>58.545205479452058</v>
      </c>
      <c r="K83" s="85">
        <v>702.46548323471393</v>
      </c>
      <c r="L83" s="60" t="s">
        <v>114</v>
      </c>
      <c r="M83" s="187" t="s">
        <v>431</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c r="AK83" s="324">
        <f t="shared" si="2"/>
        <v>0</v>
      </c>
      <c r="AL83" s="187"/>
      <c r="AM83" s="191">
        <v>42957</v>
      </c>
      <c r="AN83" s="51" t="s">
        <v>1644</v>
      </c>
      <c r="AO83" s="61"/>
      <c r="AP83" s="60"/>
      <c r="AQ83" s="191"/>
      <c r="AR83" s="51"/>
      <c r="AS83" s="51"/>
      <c r="AT83" s="324"/>
      <c r="AU83" s="51"/>
      <c r="AV83" s="51"/>
      <c r="AW83" s="51"/>
      <c r="AX83" s="51" t="s">
        <v>432</v>
      </c>
      <c r="AY83" s="71"/>
      <c r="AZ83" s="91"/>
      <c r="BB83" s="82"/>
      <c r="BC83" s="82"/>
      <c r="BD83" s="82"/>
      <c r="BE83" s="82"/>
      <c r="BF83" s="235"/>
      <c r="BG83" s="767"/>
      <c r="BH83" s="767"/>
      <c r="BI83" s="224"/>
      <c r="BJ83" s="71"/>
      <c r="BK83" s="71"/>
      <c r="BL83" s="71"/>
      <c r="BM83" s="71"/>
      <c r="BN83" s="71"/>
      <c r="BO83" s="71"/>
      <c r="BP83" s="71"/>
      <c r="BQ83" s="71"/>
      <c r="BR83" s="71"/>
      <c r="BS83" s="241"/>
      <c r="BT83" s="224"/>
      <c r="BU83" s="71"/>
      <c r="BV83" s="71"/>
      <c r="BW83" s="71"/>
      <c r="BX83" s="71"/>
      <c r="BY83" s="71"/>
      <c r="BZ83" s="71"/>
      <c r="CA83" s="71"/>
      <c r="CB83" s="71"/>
      <c r="CC83" s="71"/>
      <c r="CD83" s="71"/>
      <c r="CE83" s="71"/>
      <c r="CF83" s="71"/>
      <c r="CG83" s="71"/>
      <c r="CH83" s="71"/>
      <c r="CI83" s="71"/>
      <c r="CJ83" s="71"/>
      <c r="CK83" s="71">
        <v>1</v>
      </c>
      <c r="CL83" s="71"/>
      <c r="CM83" s="48">
        <v>145</v>
      </c>
      <c r="CN83" s="48">
        <v>79</v>
      </c>
      <c r="CP83" s="505">
        <v>28.8</v>
      </c>
      <c r="CQ83" s="505">
        <v>30.4</v>
      </c>
      <c r="CR83" s="61">
        <v>42949</v>
      </c>
      <c r="CS83" s="61">
        <v>42965</v>
      </c>
      <c r="CT83" s="83">
        <v>8</v>
      </c>
      <c r="CU83" s="84"/>
      <c r="CV83" s="65"/>
      <c r="CW83" s="61"/>
      <c r="CX83" s="65"/>
      <c r="CY83" s="65"/>
      <c r="CZ83" s="65"/>
      <c r="DA83" s="61"/>
      <c r="DB83" s="65"/>
      <c r="DC83" s="61"/>
      <c r="DD83" s="65"/>
      <c r="DE83" s="61"/>
      <c r="DF83" s="65"/>
      <c r="DG83" s="61"/>
      <c r="DH83" s="61"/>
      <c r="DI83" s="71"/>
      <c r="DJ83" s="60">
        <v>0</v>
      </c>
      <c r="DK83" s="60"/>
      <c r="DL83" s="60"/>
      <c r="DM83" s="60"/>
      <c r="DN83" s="71"/>
      <c r="DO83" s="60"/>
      <c r="DP83" s="71"/>
      <c r="DQ83" s="71"/>
      <c r="DR83" s="71"/>
      <c r="DS83" s="71"/>
      <c r="DT83" s="71"/>
      <c r="DU83" s="71"/>
      <c r="DV83" s="71"/>
      <c r="DW83" s="71"/>
      <c r="DX83" s="71"/>
      <c r="DY83" s="71"/>
      <c r="DZ83" s="71"/>
      <c r="EA83" s="71"/>
      <c r="EB83" s="71"/>
      <c r="EC83" s="71"/>
      <c r="ED83" s="71"/>
      <c r="EE83" s="71"/>
      <c r="EF83" s="71"/>
      <c r="EG83" s="71"/>
      <c r="EH83" s="71"/>
      <c r="EI83" s="71"/>
    </row>
    <row r="84" spans="1:139" s="47" customFormat="1" ht="39.75" customHeight="1">
      <c r="A84" s="50">
        <v>155</v>
      </c>
      <c r="B84" s="54">
        <v>42942</v>
      </c>
      <c r="C84" s="55">
        <v>42942.6875</v>
      </c>
      <c r="D84" s="56">
        <v>33161896</v>
      </c>
      <c r="E84" s="50" t="s">
        <v>433</v>
      </c>
      <c r="F84" s="47" t="b">
        <v>1</v>
      </c>
      <c r="H84" s="50" t="s">
        <v>113</v>
      </c>
      <c r="I84" s="54">
        <v>25062</v>
      </c>
      <c r="J84" s="254">
        <v>48.986301369863014</v>
      </c>
      <c r="K84" s="181">
        <v>587.77120315581851</v>
      </c>
      <c r="L84" s="50" t="s">
        <v>114</v>
      </c>
      <c r="M84" s="186" t="s">
        <v>434</v>
      </c>
      <c r="N84" s="47">
        <v>175.1</v>
      </c>
      <c r="O84" s="47">
        <v>74.099999999999994</v>
      </c>
      <c r="P84" s="47">
        <f t="shared" si="3"/>
        <v>24.168289573291073</v>
      </c>
      <c r="Q84" s="58">
        <v>42937</v>
      </c>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v>1</v>
      </c>
      <c r="AK84" s="323">
        <f t="shared" si="2"/>
        <v>0</v>
      </c>
      <c r="AL84" s="186" t="s">
        <v>1702</v>
      </c>
      <c r="AM84" s="58">
        <v>42939</v>
      </c>
      <c r="AN84" s="52" t="s">
        <v>1530</v>
      </c>
      <c r="AO84" s="54">
        <v>42982</v>
      </c>
      <c r="AP84" s="50" t="s">
        <v>1679</v>
      </c>
      <c r="AQ84" s="58">
        <v>42938</v>
      </c>
      <c r="AR84" s="52">
        <v>1</v>
      </c>
      <c r="AS84" s="52" t="s">
        <v>1703</v>
      </c>
      <c r="AT84" s="323">
        <v>0</v>
      </c>
      <c r="AU84" s="52">
        <v>1</v>
      </c>
      <c r="AV84" s="52">
        <v>0</v>
      </c>
      <c r="AW84" s="52">
        <v>1</v>
      </c>
      <c r="AX84" s="50" t="s">
        <v>435</v>
      </c>
      <c r="AY84" s="70"/>
      <c r="AZ84" s="193" t="s">
        <v>1680</v>
      </c>
      <c r="BA84" s="47">
        <v>0</v>
      </c>
      <c r="BB84" s="69">
        <v>1</v>
      </c>
      <c r="BC84" s="69"/>
      <c r="BD84" s="69">
        <v>0</v>
      </c>
      <c r="BE84" s="69">
        <v>0</v>
      </c>
      <c r="BF84" s="234">
        <v>1</v>
      </c>
      <c r="BG84" s="766">
        <v>0</v>
      </c>
      <c r="BH84" s="766"/>
      <c r="BI84" s="223">
        <v>0</v>
      </c>
      <c r="BJ84" s="70"/>
      <c r="BK84" s="70">
        <v>0</v>
      </c>
      <c r="BL84" s="70"/>
      <c r="BM84" s="70">
        <v>0</v>
      </c>
      <c r="BN84" s="70"/>
      <c r="BO84" s="70">
        <v>0</v>
      </c>
      <c r="BP84" s="70">
        <v>0</v>
      </c>
      <c r="BQ84" s="70">
        <v>0</v>
      </c>
      <c r="BR84" s="70">
        <v>0</v>
      </c>
      <c r="BS84" s="240">
        <v>0</v>
      </c>
      <c r="BT84" s="252">
        <v>1</v>
      </c>
      <c r="BU84" s="253" t="s">
        <v>1682</v>
      </c>
      <c r="BV84" s="253">
        <v>0</v>
      </c>
      <c r="BW84" s="253">
        <v>0</v>
      </c>
      <c r="BX84" s="70">
        <v>0</v>
      </c>
      <c r="BY84" s="70"/>
      <c r="BZ84" s="70"/>
      <c r="CA84" s="70"/>
      <c r="CB84" s="70">
        <v>0</v>
      </c>
      <c r="CC84" s="70">
        <v>0</v>
      </c>
      <c r="CD84" s="70">
        <v>0</v>
      </c>
      <c r="CE84" s="70"/>
      <c r="CF84" s="70"/>
      <c r="CG84" s="70"/>
      <c r="CH84" s="70">
        <v>0</v>
      </c>
      <c r="CI84" s="70"/>
      <c r="CJ84" s="70">
        <v>0</v>
      </c>
      <c r="CK84" s="70">
        <v>0</v>
      </c>
      <c r="CL84" s="70">
        <v>0</v>
      </c>
      <c r="CM84" s="47">
        <v>91</v>
      </c>
      <c r="CN84" s="47">
        <v>59</v>
      </c>
      <c r="CP84" s="504">
        <v>31.2</v>
      </c>
      <c r="CQ84" s="504">
        <v>32</v>
      </c>
      <c r="CR84" s="54">
        <v>42938</v>
      </c>
      <c r="CS84" s="54">
        <v>42993</v>
      </c>
      <c r="CT84" s="78">
        <v>51</v>
      </c>
      <c r="CU84" s="79">
        <v>43072</v>
      </c>
      <c r="CV84" s="59">
        <v>1</v>
      </c>
      <c r="CW84" s="54">
        <v>43072</v>
      </c>
      <c r="CX84" s="59">
        <v>0</v>
      </c>
      <c r="CY84" s="59">
        <v>0</v>
      </c>
      <c r="CZ84" s="59">
        <v>1</v>
      </c>
      <c r="DA84" s="54" t="s">
        <v>1704</v>
      </c>
      <c r="DB84" s="59">
        <v>0</v>
      </c>
      <c r="DC84" s="54"/>
      <c r="DD84" s="59">
        <v>0</v>
      </c>
      <c r="DE84" s="54"/>
      <c r="DF84" s="59">
        <v>0</v>
      </c>
      <c r="DG84" s="54"/>
      <c r="DH84" s="54"/>
      <c r="DI84" s="70"/>
      <c r="DJ84" s="50">
        <v>1</v>
      </c>
      <c r="DK84" s="50"/>
      <c r="DL84" s="50"/>
      <c r="DM84" s="50" t="b">
        <v>1</v>
      </c>
      <c r="DN84" s="258">
        <v>43072</v>
      </c>
      <c r="DO84" s="50" t="s">
        <v>436</v>
      </c>
      <c r="DP84" s="70"/>
      <c r="DQ84" s="70"/>
      <c r="DR84" s="70"/>
      <c r="DS84" s="70"/>
      <c r="DT84" s="70"/>
      <c r="DU84" s="70"/>
      <c r="DV84" s="70"/>
      <c r="DW84" s="70"/>
      <c r="DX84" s="70"/>
      <c r="DY84" s="70"/>
      <c r="DZ84" s="70"/>
      <c r="EA84" s="70"/>
      <c r="EB84" s="70"/>
      <c r="EC84" s="70"/>
      <c r="ED84" s="70"/>
      <c r="EE84" s="70"/>
      <c r="EF84" s="70"/>
      <c r="EG84" s="70"/>
      <c r="EH84" s="70"/>
      <c r="EI84" s="70"/>
    </row>
    <row r="85" spans="1:139" s="47" customFormat="1" ht="39.75" customHeight="1">
      <c r="A85" s="50">
        <v>156</v>
      </c>
      <c r="B85" s="54">
        <v>42942</v>
      </c>
      <c r="C85" s="55">
        <v>42942.51458333333</v>
      </c>
      <c r="D85" s="56">
        <v>31748332</v>
      </c>
      <c r="E85" s="50" t="s">
        <v>437</v>
      </c>
      <c r="F85" s="47" t="b">
        <v>1</v>
      </c>
      <c r="H85" s="50" t="s">
        <v>129</v>
      </c>
      <c r="I85" s="54">
        <v>30372</v>
      </c>
      <c r="J85" s="254">
        <v>34.438356164383563</v>
      </c>
      <c r="K85" s="181">
        <v>413.21499013806704</v>
      </c>
      <c r="L85" s="50" t="s">
        <v>114</v>
      </c>
      <c r="M85" s="186" t="s">
        <v>438</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v>1</v>
      </c>
      <c r="AK85" s="323">
        <f t="shared" si="2"/>
        <v>0</v>
      </c>
      <c r="AL85" s="186" t="s">
        <v>1705</v>
      </c>
      <c r="AM85" s="58">
        <v>42937</v>
      </c>
      <c r="AN85" s="52" t="s">
        <v>1706</v>
      </c>
      <c r="AO85" s="54">
        <v>42977</v>
      </c>
      <c r="AP85" s="50" t="s">
        <v>1707</v>
      </c>
      <c r="AQ85" s="58">
        <v>42942</v>
      </c>
      <c r="AR85" s="52">
        <v>1</v>
      </c>
      <c r="AS85" s="52" t="s">
        <v>1708</v>
      </c>
      <c r="AT85" s="323">
        <v>0</v>
      </c>
      <c r="AU85" s="52">
        <v>1</v>
      </c>
      <c r="AV85" s="52">
        <v>0</v>
      </c>
      <c r="AW85" s="52">
        <v>1</v>
      </c>
      <c r="AX85" s="50" t="s">
        <v>439</v>
      </c>
      <c r="AY85" s="70"/>
      <c r="AZ85" s="193" t="s">
        <v>1680</v>
      </c>
      <c r="BA85" s="47">
        <v>0</v>
      </c>
      <c r="BB85" s="69">
        <v>1</v>
      </c>
      <c r="BC85" s="69"/>
      <c r="BD85" s="69">
        <v>0</v>
      </c>
      <c r="BE85" s="69">
        <v>0</v>
      </c>
      <c r="BF85" s="234">
        <v>1</v>
      </c>
      <c r="BG85" s="766">
        <v>0</v>
      </c>
      <c r="BH85" s="766"/>
      <c r="BI85" s="223">
        <v>0</v>
      </c>
      <c r="BJ85" s="70"/>
      <c r="BK85" s="70">
        <v>0</v>
      </c>
      <c r="BL85" s="70"/>
      <c r="BM85" s="70">
        <v>0</v>
      </c>
      <c r="BN85" s="70"/>
      <c r="BO85" s="70">
        <v>0</v>
      </c>
      <c r="BP85" s="70">
        <v>0</v>
      </c>
      <c r="BQ85" s="70">
        <v>0</v>
      </c>
      <c r="BR85" s="70">
        <v>0</v>
      </c>
      <c r="BS85" s="240">
        <v>0</v>
      </c>
      <c r="BT85" s="252">
        <v>1</v>
      </c>
      <c r="BU85" s="253" t="s">
        <v>1709</v>
      </c>
      <c r="BV85" s="253">
        <v>0</v>
      </c>
      <c r="BW85" s="253">
        <v>0</v>
      </c>
      <c r="BX85" s="70">
        <v>0</v>
      </c>
      <c r="BY85" s="70"/>
      <c r="BZ85" s="70"/>
      <c r="CA85" s="70"/>
      <c r="CB85" s="70">
        <v>0</v>
      </c>
      <c r="CC85" s="70">
        <v>0</v>
      </c>
      <c r="CD85" s="70">
        <v>0</v>
      </c>
      <c r="CE85" s="70"/>
      <c r="CF85" s="70"/>
      <c r="CG85" s="70"/>
      <c r="CH85" s="70">
        <v>0</v>
      </c>
      <c r="CI85" s="70"/>
      <c r="CJ85" s="70">
        <v>0</v>
      </c>
      <c r="CK85" s="70">
        <v>0</v>
      </c>
      <c r="CL85" s="70">
        <v>0</v>
      </c>
      <c r="CM85" s="47">
        <v>85</v>
      </c>
      <c r="CN85" s="47">
        <v>61</v>
      </c>
      <c r="CP85" s="504">
        <v>29.7</v>
      </c>
      <c r="CQ85" s="504">
        <v>31.6</v>
      </c>
      <c r="CR85" s="54">
        <v>42937</v>
      </c>
      <c r="CS85" s="54">
        <v>42970</v>
      </c>
      <c r="CT85" s="78">
        <v>28</v>
      </c>
      <c r="CU85" s="79">
        <v>44070</v>
      </c>
      <c r="CV85" s="59">
        <v>0</v>
      </c>
      <c r="CW85" s="54"/>
      <c r="CX85" s="59">
        <v>0</v>
      </c>
      <c r="CY85" s="59">
        <v>0</v>
      </c>
      <c r="CZ85" s="59">
        <v>0</v>
      </c>
      <c r="DA85" s="54"/>
      <c r="DB85" s="59">
        <v>0</v>
      </c>
      <c r="DC85" s="54"/>
      <c r="DD85" s="59">
        <v>0</v>
      </c>
      <c r="DE85" s="54"/>
      <c r="DF85" s="59">
        <v>0</v>
      </c>
      <c r="DG85" s="54"/>
      <c r="DH85" s="54"/>
      <c r="DI85" s="70"/>
      <c r="DJ85" s="50">
        <v>0</v>
      </c>
      <c r="DK85" s="50"/>
      <c r="DL85" s="50"/>
      <c r="DM85" s="50"/>
      <c r="DN85" s="70"/>
      <c r="DO85" s="50"/>
      <c r="DP85" s="70"/>
      <c r="DQ85" s="70"/>
      <c r="DR85" s="70"/>
      <c r="DS85" s="70"/>
      <c r="DT85" s="70"/>
      <c r="DU85" s="70"/>
      <c r="DV85" s="70"/>
      <c r="DW85" s="70"/>
      <c r="DX85" s="70"/>
      <c r="DY85" s="70"/>
      <c r="DZ85" s="70"/>
      <c r="EA85" s="70"/>
      <c r="EB85" s="70"/>
      <c r="EC85" s="70"/>
      <c r="ED85" s="70"/>
      <c r="EE85" s="70"/>
      <c r="EF85" s="70"/>
      <c r="EG85" s="70"/>
      <c r="EH85" s="70"/>
      <c r="EI85" s="70"/>
    </row>
    <row r="86" spans="1:139" s="47" customFormat="1" ht="39.75" customHeight="1">
      <c r="A86" s="50">
        <v>157</v>
      </c>
      <c r="B86" s="54">
        <v>42936</v>
      </c>
      <c r="C86" s="55">
        <v>42936.297222222223</v>
      </c>
      <c r="D86" s="56">
        <v>38314857</v>
      </c>
      <c r="E86" s="50" t="s">
        <v>440</v>
      </c>
      <c r="F86" s="47" t="b">
        <v>1</v>
      </c>
      <c r="H86" s="50" t="s">
        <v>441</v>
      </c>
      <c r="I86" s="54">
        <v>21443</v>
      </c>
      <c r="J86" s="255">
        <v>58.884931506849313</v>
      </c>
      <c r="K86" s="181">
        <v>706.54174884944109</v>
      </c>
      <c r="L86" s="50" t="s">
        <v>442</v>
      </c>
      <c r="M86" s="186" t="s">
        <v>443</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v>0</v>
      </c>
      <c r="AK86" s="323">
        <f t="shared" si="2"/>
        <v>0</v>
      </c>
      <c r="AL86" s="186"/>
      <c r="AM86" s="58">
        <v>42917</v>
      </c>
      <c r="AN86" s="52" t="s">
        <v>1710</v>
      </c>
      <c r="AO86" s="54">
        <v>42950</v>
      </c>
      <c r="AP86" s="50" t="s">
        <v>1700</v>
      </c>
      <c r="AQ86" s="58">
        <v>42915</v>
      </c>
      <c r="AR86" s="52">
        <v>0</v>
      </c>
      <c r="AS86" s="52"/>
      <c r="AT86" s="323">
        <v>0</v>
      </c>
      <c r="AU86" s="52">
        <v>1</v>
      </c>
      <c r="AV86" s="52">
        <v>0</v>
      </c>
      <c r="AW86" s="52">
        <v>1</v>
      </c>
      <c r="AX86" s="50" t="s">
        <v>444</v>
      </c>
      <c r="AY86" s="70"/>
      <c r="AZ86" s="193" t="s">
        <v>1680</v>
      </c>
      <c r="BA86" s="47">
        <v>0</v>
      </c>
      <c r="BB86" s="69">
        <v>1</v>
      </c>
      <c r="BC86" s="69"/>
      <c r="BD86" s="69">
        <v>1</v>
      </c>
      <c r="BE86" s="69">
        <v>0</v>
      </c>
      <c r="BF86" s="234">
        <v>0</v>
      </c>
      <c r="BG86" s="766">
        <v>0</v>
      </c>
      <c r="BH86" s="766"/>
      <c r="BI86" s="223">
        <v>0</v>
      </c>
      <c r="BJ86" s="70"/>
      <c r="BK86" s="70">
        <v>0</v>
      </c>
      <c r="BL86" s="70"/>
      <c r="BM86" s="70">
        <v>0</v>
      </c>
      <c r="BN86" s="70"/>
      <c r="BO86" s="70">
        <v>0</v>
      </c>
      <c r="BP86" s="70">
        <v>0</v>
      </c>
      <c r="BQ86" s="70">
        <v>0</v>
      </c>
      <c r="BR86" s="70">
        <v>0</v>
      </c>
      <c r="BS86" s="240">
        <v>0</v>
      </c>
      <c r="BT86" s="223">
        <v>1</v>
      </c>
      <c r="BU86" s="70" t="s">
        <v>1711</v>
      </c>
      <c r="BV86" s="70">
        <v>0</v>
      </c>
      <c r="BW86" s="70">
        <v>0</v>
      </c>
      <c r="BX86" s="70">
        <v>0</v>
      </c>
      <c r="BY86" s="70"/>
      <c r="BZ86" s="70"/>
      <c r="CA86" s="70"/>
      <c r="CB86" s="70">
        <v>0</v>
      </c>
      <c r="CC86" s="70">
        <v>0</v>
      </c>
      <c r="CD86" s="70">
        <v>0</v>
      </c>
      <c r="CE86" s="70"/>
      <c r="CF86" s="70"/>
      <c r="CG86" s="70"/>
      <c r="CH86" s="70">
        <v>0</v>
      </c>
      <c r="CI86" s="70"/>
      <c r="CJ86" s="70">
        <v>0</v>
      </c>
      <c r="CK86" s="70">
        <v>0</v>
      </c>
      <c r="CL86" s="70">
        <v>0</v>
      </c>
      <c r="CM86" s="47">
        <v>108</v>
      </c>
      <c r="CN86" s="47">
        <v>92</v>
      </c>
      <c r="CP86" s="504">
        <v>30.5</v>
      </c>
      <c r="CQ86" s="504">
        <v>31.8</v>
      </c>
      <c r="CR86" s="54">
        <v>42934</v>
      </c>
      <c r="CS86" s="54">
        <v>42947</v>
      </c>
      <c r="CT86" s="78">
        <v>11</v>
      </c>
      <c r="CU86" s="79">
        <v>44291</v>
      </c>
      <c r="CV86" s="59">
        <v>0</v>
      </c>
      <c r="CW86" s="54"/>
      <c r="CX86" s="59">
        <v>0</v>
      </c>
      <c r="CY86" s="59">
        <v>0</v>
      </c>
      <c r="CZ86" s="59">
        <v>0</v>
      </c>
      <c r="DA86" s="54"/>
      <c r="DB86" s="59">
        <v>0</v>
      </c>
      <c r="DC86" s="54"/>
      <c r="DD86" s="59">
        <v>0</v>
      </c>
      <c r="DE86" s="54"/>
      <c r="DF86" s="59">
        <v>0</v>
      </c>
      <c r="DG86" s="54"/>
      <c r="DH86" s="54"/>
      <c r="DI86" s="70"/>
      <c r="DJ86" s="50">
        <v>0</v>
      </c>
      <c r="DK86" s="50"/>
      <c r="DL86" s="50"/>
      <c r="DM86" s="50"/>
      <c r="DN86" s="70"/>
      <c r="DO86" s="50"/>
      <c r="DP86" s="70"/>
      <c r="DQ86" s="70"/>
      <c r="DR86" s="70"/>
      <c r="DS86" s="70"/>
      <c r="DT86" s="70"/>
      <c r="DU86" s="70"/>
      <c r="DV86" s="70"/>
      <c r="DW86" s="70"/>
      <c r="DX86" s="70"/>
      <c r="DY86" s="70"/>
      <c r="DZ86" s="70"/>
      <c r="EA86" s="70"/>
      <c r="EB86" s="70"/>
      <c r="EC86" s="70"/>
      <c r="ED86" s="70"/>
      <c r="EE86" s="70"/>
      <c r="EF86" s="70"/>
      <c r="EG86" s="70"/>
      <c r="EH86" s="70"/>
      <c r="EI86" s="70"/>
    </row>
    <row r="87" spans="1:139" s="48" customFormat="1" ht="39.75" customHeight="1">
      <c r="A87" s="60">
        <v>161</v>
      </c>
      <c r="B87" s="61">
        <v>42921</v>
      </c>
      <c r="C87" s="62">
        <v>42921.654166666667</v>
      </c>
      <c r="D87" s="63">
        <v>37711570</v>
      </c>
      <c r="E87" s="60" t="s">
        <v>445</v>
      </c>
      <c r="F87" s="48" t="b">
        <v>0</v>
      </c>
      <c r="G87" s="48" t="s">
        <v>1674</v>
      </c>
      <c r="H87" s="60" t="s">
        <v>129</v>
      </c>
      <c r="I87" s="61">
        <v>17586</v>
      </c>
      <c r="J87" s="94">
        <v>69.410958904109592</v>
      </c>
      <c r="K87" s="85">
        <v>832.84023668639054</v>
      </c>
      <c r="L87" s="60" t="s">
        <v>121</v>
      </c>
      <c r="M87" s="187" t="s">
        <v>446</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c r="AK87" s="324">
        <f t="shared" si="2"/>
        <v>0</v>
      </c>
      <c r="AL87" s="187"/>
      <c r="AM87" s="191"/>
      <c r="AN87" s="51"/>
      <c r="AO87" s="61"/>
      <c r="AP87" s="60"/>
      <c r="AQ87" s="191"/>
      <c r="AR87" s="51"/>
      <c r="AS87" s="51"/>
      <c r="AT87" s="324"/>
      <c r="AU87" s="51">
        <v>0</v>
      </c>
      <c r="AV87" s="51">
        <v>0</v>
      </c>
      <c r="AW87" s="51">
        <v>0</v>
      </c>
      <c r="AX87" s="51" t="s">
        <v>447</v>
      </c>
      <c r="AY87" s="71">
        <v>0</v>
      </c>
      <c r="AZ87" s="91">
        <v>1</v>
      </c>
      <c r="BB87" s="82">
        <v>0</v>
      </c>
      <c r="BC87" s="82"/>
      <c r="BD87" s="82">
        <v>0</v>
      </c>
      <c r="BE87" s="82">
        <v>0</v>
      </c>
      <c r="BF87" s="235">
        <v>0</v>
      </c>
      <c r="BG87" s="767"/>
      <c r="BH87" s="767"/>
      <c r="BI87" s="224">
        <v>1</v>
      </c>
      <c r="BJ87" s="71"/>
      <c r="BK87" s="71"/>
      <c r="BL87" s="71"/>
      <c r="BM87" s="71"/>
      <c r="BN87" s="71"/>
      <c r="BO87" s="71"/>
      <c r="BP87" s="71"/>
      <c r="BQ87" s="71"/>
      <c r="BR87" s="71"/>
      <c r="BS87" s="245"/>
      <c r="BT87" s="224"/>
      <c r="BU87" s="71"/>
      <c r="BV87" s="71"/>
      <c r="BW87" s="71"/>
      <c r="BX87" s="71"/>
      <c r="BY87" s="71"/>
      <c r="BZ87" s="71"/>
      <c r="CA87" s="71" t="e">
        <v>#REF!</v>
      </c>
      <c r="CB87" s="86">
        <v>0</v>
      </c>
      <c r="CC87" s="86"/>
      <c r="CD87" s="86"/>
      <c r="CE87" s="86"/>
      <c r="CF87" s="86"/>
      <c r="CG87" s="71"/>
      <c r="CH87" s="71"/>
      <c r="CI87" s="71"/>
      <c r="CJ87" s="71"/>
      <c r="CK87" s="71"/>
      <c r="CL87" s="71"/>
      <c r="CM87" s="48">
        <v>83</v>
      </c>
      <c r="CN87" s="48">
        <v>76</v>
      </c>
      <c r="CP87" s="505">
        <v>31</v>
      </c>
      <c r="CQ87" s="505">
        <v>32.5</v>
      </c>
      <c r="CR87" s="61">
        <v>42919</v>
      </c>
      <c r="CS87" s="61">
        <v>42930</v>
      </c>
      <c r="CT87" s="83">
        <v>9</v>
      </c>
      <c r="CU87" s="84"/>
      <c r="CV87" s="65"/>
      <c r="CW87" s="61"/>
      <c r="CX87" s="65"/>
      <c r="CY87" s="65"/>
      <c r="CZ87" s="65"/>
      <c r="DA87" s="61"/>
      <c r="DB87" s="65"/>
      <c r="DC87" s="61"/>
      <c r="DD87" s="65"/>
      <c r="DE87" s="61"/>
      <c r="DF87" s="65"/>
      <c r="DG87" s="61"/>
      <c r="DH87" s="67" t="s">
        <v>448</v>
      </c>
      <c r="DI87" s="71"/>
      <c r="DJ87" s="60">
        <v>0</v>
      </c>
      <c r="DK87" s="60"/>
      <c r="DL87" s="60"/>
      <c r="DM87" s="60"/>
      <c r="DN87" s="71"/>
      <c r="DO87" s="60"/>
      <c r="DP87" s="71"/>
      <c r="DQ87" s="71"/>
      <c r="DR87" s="71"/>
      <c r="DS87" s="71"/>
      <c r="DT87" s="71"/>
      <c r="DU87" s="71"/>
      <c r="DV87" s="71"/>
      <c r="DW87" s="71"/>
      <c r="DX87" s="71"/>
      <c r="DY87" s="71"/>
      <c r="DZ87" s="71"/>
      <c r="EA87" s="71"/>
      <c r="EB87" s="71"/>
      <c r="EC87" s="71"/>
      <c r="ED87" s="71"/>
      <c r="EE87" s="71"/>
      <c r="EF87" s="71"/>
      <c r="EG87" s="71"/>
      <c r="EH87" s="71"/>
      <c r="EI87" s="71"/>
    </row>
    <row r="88" spans="1:139" s="48" customFormat="1" ht="39.75" customHeight="1">
      <c r="A88" s="60">
        <v>162</v>
      </c>
      <c r="B88" s="61">
        <v>42918</v>
      </c>
      <c r="C88" s="62">
        <v>42918.393750000003</v>
      </c>
      <c r="D88" s="63">
        <v>24796399</v>
      </c>
      <c r="E88" s="60" t="s">
        <v>449</v>
      </c>
      <c r="F88" s="48" t="b">
        <v>0</v>
      </c>
      <c r="G88" s="48" t="s">
        <v>1699</v>
      </c>
      <c r="H88" s="60" t="s">
        <v>113</v>
      </c>
      <c r="I88" s="61">
        <v>14320</v>
      </c>
      <c r="J88" s="94">
        <v>78.350684931506848</v>
      </c>
      <c r="K88" s="85">
        <v>940.1051939513477</v>
      </c>
      <c r="L88" s="60" t="s">
        <v>121</v>
      </c>
      <c r="M88" s="187" t="s">
        <v>450</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c r="AK88" s="324">
        <f t="shared" si="2"/>
        <v>0</v>
      </c>
      <c r="AL88" s="187"/>
      <c r="AM88" s="191"/>
      <c r="AN88" s="51"/>
      <c r="AO88" s="61"/>
      <c r="AP88" s="60"/>
      <c r="AQ88" s="191"/>
      <c r="AR88" s="51"/>
      <c r="AS88" s="51"/>
      <c r="AT88" s="324"/>
      <c r="AU88" s="51"/>
      <c r="AV88" s="51"/>
      <c r="AW88" s="51"/>
      <c r="AX88" s="51" t="s">
        <v>451</v>
      </c>
      <c r="AY88" s="71"/>
      <c r="AZ88" s="91">
        <v>1</v>
      </c>
      <c r="BB88" s="82"/>
      <c r="BC88" s="82"/>
      <c r="BD88" s="82"/>
      <c r="BE88" s="82"/>
      <c r="BF88" s="235"/>
      <c r="BG88" s="767"/>
      <c r="BH88" s="767"/>
      <c r="BI88" s="224"/>
      <c r="BJ88" s="71"/>
      <c r="BK88" s="71"/>
      <c r="BL88" s="71"/>
      <c r="BM88" s="71"/>
      <c r="BN88" s="71"/>
      <c r="BO88" s="71"/>
      <c r="BP88" s="71"/>
      <c r="BQ88" s="71"/>
      <c r="BR88" s="71"/>
      <c r="BS88" s="241"/>
      <c r="BT88" s="239"/>
      <c r="BU88" s="118"/>
      <c r="BV88" s="118"/>
      <c r="BW88" s="118"/>
      <c r="BX88" s="71"/>
      <c r="BY88" s="71"/>
      <c r="BZ88" s="71"/>
      <c r="CA88" s="71"/>
      <c r="CB88" s="71"/>
      <c r="CC88" s="71"/>
      <c r="CD88" s="71"/>
      <c r="CE88" s="71"/>
      <c r="CF88" s="71"/>
      <c r="CG88" s="71"/>
      <c r="CH88" s="71"/>
      <c r="CI88" s="71"/>
      <c r="CJ88" s="71">
        <v>1</v>
      </c>
      <c r="CK88" s="71"/>
      <c r="CL88" s="71"/>
      <c r="CM88" s="48">
        <v>186</v>
      </c>
      <c r="CN88" s="48">
        <v>152</v>
      </c>
      <c r="CP88" s="505">
        <v>28.7</v>
      </c>
      <c r="CQ88" s="505">
        <v>29.9</v>
      </c>
      <c r="CR88" s="61">
        <v>42917</v>
      </c>
      <c r="CS88" s="61">
        <v>42944</v>
      </c>
      <c r="CT88" s="83">
        <v>26</v>
      </c>
      <c r="CU88" s="84"/>
      <c r="CV88" s="65"/>
      <c r="CW88" s="61"/>
      <c r="CX88" s="65"/>
      <c r="CY88" s="65"/>
      <c r="CZ88" s="65"/>
      <c r="DA88" s="61"/>
      <c r="DB88" s="65"/>
      <c r="DC88" s="61"/>
      <c r="DD88" s="65"/>
      <c r="DE88" s="61"/>
      <c r="DF88" s="65"/>
      <c r="DG88" s="61"/>
      <c r="DH88" s="61"/>
      <c r="DI88" s="71"/>
      <c r="DJ88" s="60">
        <v>0</v>
      </c>
      <c r="DK88" s="60"/>
      <c r="DL88" s="60"/>
      <c r="DM88" s="60"/>
      <c r="DN88" s="71"/>
      <c r="DO88" s="60"/>
      <c r="DP88" s="71"/>
      <c r="DQ88" s="71"/>
      <c r="DR88" s="71"/>
      <c r="DS88" s="71"/>
      <c r="DT88" s="71"/>
      <c r="DU88" s="71"/>
      <c r="DV88" s="71"/>
      <c r="DW88" s="71"/>
      <c r="DX88" s="71"/>
      <c r="DY88" s="71"/>
      <c r="DZ88" s="71"/>
      <c r="EA88" s="71"/>
      <c r="EB88" s="71"/>
      <c r="EC88" s="71"/>
      <c r="ED88" s="71"/>
      <c r="EE88" s="71"/>
      <c r="EF88" s="71"/>
      <c r="EG88" s="71"/>
      <c r="EH88" s="71"/>
      <c r="EI88" s="71"/>
    </row>
    <row r="89" spans="1:139" s="47" customFormat="1" ht="39.75" customHeight="1">
      <c r="A89" s="50">
        <v>163</v>
      </c>
      <c r="B89" s="54">
        <v>42913</v>
      </c>
      <c r="C89" s="55">
        <v>42913.543749999997</v>
      </c>
      <c r="D89" s="56">
        <v>38167718</v>
      </c>
      <c r="E89" s="50" t="s">
        <v>452</v>
      </c>
      <c r="F89" s="47" t="b">
        <v>1</v>
      </c>
      <c r="H89" s="50" t="s">
        <v>113</v>
      </c>
      <c r="I89" s="54">
        <v>27689</v>
      </c>
      <c r="J89" s="255">
        <v>41.709589041095889</v>
      </c>
      <c r="K89" s="181">
        <v>500.46022353714659</v>
      </c>
      <c r="L89" s="50" t="s">
        <v>114</v>
      </c>
      <c r="M89" s="186" t="s">
        <v>453</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v>0</v>
      </c>
      <c r="AK89" s="323">
        <f t="shared" si="2"/>
        <v>1</v>
      </c>
      <c r="AL89" s="186"/>
      <c r="AM89" s="58">
        <v>42913</v>
      </c>
      <c r="AN89" s="52" t="s">
        <v>1712</v>
      </c>
      <c r="AO89" s="54">
        <v>42941</v>
      </c>
      <c r="AP89" s="50" t="s">
        <v>1713</v>
      </c>
      <c r="AQ89" s="58"/>
      <c r="AR89" s="52">
        <v>0</v>
      </c>
      <c r="AS89" s="52"/>
      <c r="AT89" s="323">
        <v>0</v>
      </c>
      <c r="AU89" s="52">
        <v>1</v>
      </c>
      <c r="AV89" s="52">
        <v>0</v>
      </c>
      <c r="AW89" s="52">
        <v>1</v>
      </c>
      <c r="AX89" s="52" t="s">
        <v>454</v>
      </c>
      <c r="AY89" s="70" t="s">
        <v>1680</v>
      </c>
      <c r="AZ89" s="193" t="s">
        <v>1685</v>
      </c>
      <c r="BA89" s="47">
        <v>0</v>
      </c>
      <c r="BB89" s="69">
        <v>1</v>
      </c>
      <c r="BC89" s="69"/>
      <c r="BD89" s="69">
        <v>0</v>
      </c>
      <c r="BE89" s="69">
        <v>0</v>
      </c>
      <c r="BF89" s="234">
        <v>0</v>
      </c>
      <c r="BG89" s="766">
        <v>0</v>
      </c>
      <c r="BH89" s="766"/>
      <c r="BI89" s="223">
        <v>0</v>
      </c>
      <c r="BJ89" s="70"/>
      <c r="BK89" s="70">
        <v>0</v>
      </c>
      <c r="BL89" s="70"/>
      <c r="BM89" s="70">
        <v>0</v>
      </c>
      <c r="BN89" s="70"/>
      <c r="BO89" s="70">
        <v>0</v>
      </c>
      <c r="BP89" s="70">
        <v>0</v>
      </c>
      <c r="BQ89" s="70">
        <v>0</v>
      </c>
      <c r="BR89" s="70">
        <v>0</v>
      </c>
      <c r="BS89" s="240">
        <v>0</v>
      </c>
      <c r="BT89" s="223">
        <v>1</v>
      </c>
      <c r="BU89" s="70" t="s">
        <v>1714</v>
      </c>
      <c r="BV89" s="70">
        <v>0</v>
      </c>
      <c r="BW89" s="70">
        <v>0</v>
      </c>
      <c r="BX89" s="70">
        <v>0</v>
      </c>
      <c r="BY89" s="70"/>
      <c r="BZ89" s="70"/>
      <c r="CA89" s="70"/>
      <c r="CB89" s="70">
        <v>0</v>
      </c>
      <c r="CC89" s="70">
        <v>1</v>
      </c>
      <c r="CD89" s="70">
        <v>0</v>
      </c>
      <c r="CE89" s="70"/>
      <c r="CF89" s="70" t="s">
        <v>1715</v>
      </c>
      <c r="CG89" s="70" t="s">
        <v>1716</v>
      </c>
      <c r="CH89" s="70">
        <v>0</v>
      </c>
      <c r="CI89" s="70"/>
      <c r="CJ89" s="70">
        <v>0</v>
      </c>
      <c r="CK89" s="70">
        <v>0</v>
      </c>
      <c r="CL89" s="70">
        <v>0</v>
      </c>
      <c r="CM89" s="47">
        <v>97</v>
      </c>
      <c r="CN89" s="47">
        <v>73</v>
      </c>
      <c r="CP89" s="504">
        <v>32.200000000000003</v>
      </c>
      <c r="CQ89" s="504">
        <v>32.4</v>
      </c>
      <c r="CR89" s="54">
        <v>42909</v>
      </c>
      <c r="CS89" s="54">
        <v>42928</v>
      </c>
      <c r="CT89" s="78">
        <v>15</v>
      </c>
      <c r="CU89" s="79">
        <v>44243</v>
      </c>
      <c r="CV89" s="59">
        <v>0</v>
      </c>
      <c r="CW89" s="54"/>
      <c r="CX89" s="59">
        <v>0</v>
      </c>
      <c r="CY89" s="59">
        <v>0</v>
      </c>
      <c r="CZ89" s="59">
        <v>0</v>
      </c>
      <c r="DA89" s="54"/>
      <c r="DB89" s="59">
        <v>0</v>
      </c>
      <c r="DC89" s="54"/>
      <c r="DD89" s="59">
        <v>0</v>
      </c>
      <c r="DE89" s="54"/>
      <c r="DF89" s="59">
        <v>0</v>
      </c>
      <c r="DG89" s="54"/>
      <c r="DH89" s="54"/>
      <c r="DI89" s="70"/>
      <c r="DJ89" s="50">
        <v>0</v>
      </c>
      <c r="DK89" s="50"/>
      <c r="DL89" s="50"/>
      <c r="DM89" s="50"/>
      <c r="DN89" s="70"/>
      <c r="DO89" s="50"/>
      <c r="DP89" s="70"/>
      <c r="DQ89" s="70"/>
      <c r="DR89" s="70"/>
      <c r="DS89" s="70"/>
      <c r="DT89" s="70"/>
      <c r="DU89" s="70"/>
      <c r="DV89" s="70"/>
      <c r="DW89" s="70"/>
      <c r="DX89" s="70"/>
      <c r="DY89" s="70"/>
      <c r="DZ89" s="70"/>
      <c r="EA89" s="70"/>
      <c r="EB89" s="70"/>
      <c r="EC89" s="70"/>
      <c r="ED89" s="70"/>
      <c r="EE89" s="70"/>
      <c r="EF89" s="70"/>
      <c r="EG89" s="70"/>
      <c r="EH89" s="70"/>
      <c r="EI89" s="70"/>
    </row>
    <row r="90" spans="1:139" s="47" customFormat="1" ht="39.75" customHeight="1">
      <c r="A90" s="50">
        <v>164</v>
      </c>
      <c r="B90" s="54">
        <v>42910</v>
      </c>
      <c r="C90" s="55">
        <v>42910.417361111111</v>
      </c>
      <c r="D90" s="56">
        <v>33800506</v>
      </c>
      <c r="E90" s="50" t="s">
        <v>455</v>
      </c>
      <c r="F90" s="47" t="b">
        <v>1</v>
      </c>
      <c r="H90" s="50" t="s">
        <v>113</v>
      </c>
      <c r="I90" s="54">
        <v>35622</v>
      </c>
      <c r="J90" s="254">
        <v>19.967123287671232</v>
      </c>
      <c r="K90" s="181">
        <v>239.5792241946088</v>
      </c>
      <c r="L90" s="50" t="s">
        <v>216</v>
      </c>
      <c r="M90" s="186" t="s">
        <v>456</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v>0</v>
      </c>
      <c r="AK90" s="323">
        <f t="shared" si="2"/>
        <v>1</v>
      </c>
      <c r="AL90" s="186"/>
      <c r="AM90" s="58">
        <v>42909</v>
      </c>
      <c r="AN90" s="52" t="s">
        <v>1717</v>
      </c>
      <c r="AO90" s="54">
        <v>42937</v>
      </c>
      <c r="AP90" s="50" t="s">
        <v>457</v>
      </c>
      <c r="AQ90" s="58">
        <v>42909</v>
      </c>
      <c r="AR90" s="52">
        <v>1</v>
      </c>
      <c r="AS90" s="52" t="s">
        <v>458</v>
      </c>
      <c r="AT90" s="323">
        <v>0</v>
      </c>
      <c r="AU90" s="52">
        <v>1</v>
      </c>
      <c r="AV90" s="52">
        <v>0</v>
      </c>
      <c r="AW90" s="52">
        <v>1</v>
      </c>
      <c r="AX90" s="52" t="s">
        <v>459</v>
      </c>
      <c r="AY90" s="70"/>
      <c r="AZ90" s="193" t="s">
        <v>1680</v>
      </c>
      <c r="BA90" s="47">
        <v>0</v>
      </c>
      <c r="BB90" s="69">
        <v>1</v>
      </c>
      <c r="BC90" s="69"/>
      <c r="BD90" s="69">
        <v>0</v>
      </c>
      <c r="BE90" s="69">
        <v>0</v>
      </c>
      <c r="BF90" s="234">
        <v>0</v>
      </c>
      <c r="BG90" s="766">
        <v>0</v>
      </c>
      <c r="BH90" s="766"/>
      <c r="BI90" s="223">
        <v>1</v>
      </c>
      <c r="BJ90" s="70"/>
      <c r="BK90" s="70">
        <v>1</v>
      </c>
      <c r="BL90" s="70" t="s">
        <v>1718</v>
      </c>
      <c r="BM90" s="70">
        <v>1</v>
      </c>
      <c r="BN90" s="70" t="s">
        <v>1719</v>
      </c>
      <c r="BO90" s="70">
        <v>0</v>
      </c>
      <c r="BP90" s="70">
        <v>1</v>
      </c>
      <c r="BQ90" s="70">
        <v>0</v>
      </c>
      <c r="BR90" s="70">
        <v>0</v>
      </c>
      <c r="BS90" s="240">
        <v>0</v>
      </c>
      <c r="BT90" s="223">
        <v>0</v>
      </c>
      <c r="BU90" s="70"/>
      <c r="BV90" s="70">
        <v>0</v>
      </c>
      <c r="BW90" s="70">
        <v>0</v>
      </c>
      <c r="BX90" s="70">
        <v>0</v>
      </c>
      <c r="BY90" s="70"/>
      <c r="BZ90" s="70"/>
      <c r="CA90" s="70"/>
      <c r="CB90" s="77">
        <v>0</v>
      </c>
      <c r="CC90" s="77">
        <v>0</v>
      </c>
      <c r="CD90" s="77">
        <v>0</v>
      </c>
      <c r="CE90" s="77"/>
      <c r="CF90" s="77"/>
      <c r="CG90" s="70"/>
      <c r="CH90" s="70">
        <v>0</v>
      </c>
      <c r="CI90" s="70"/>
      <c r="CJ90" s="70">
        <v>0</v>
      </c>
      <c r="CK90" s="70">
        <v>0</v>
      </c>
      <c r="CL90" s="70">
        <v>0</v>
      </c>
      <c r="CM90" s="47">
        <v>100</v>
      </c>
      <c r="CN90" s="47">
        <v>83</v>
      </c>
      <c r="CP90" s="504">
        <v>30.7</v>
      </c>
      <c r="CQ90" s="504">
        <v>32.200000000000003</v>
      </c>
      <c r="CR90" s="54">
        <v>42909</v>
      </c>
      <c r="CS90" s="54">
        <v>42922</v>
      </c>
      <c r="CT90" s="78">
        <v>12</v>
      </c>
      <c r="CU90" s="79">
        <v>44191</v>
      </c>
      <c r="CV90" s="59">
        <v>0</v>
      </c>
      <c r="CW90" s="54"/>
      <c r="CX90" s="59">
        <v>0</v>
      </c>
      <c r="CY90" s="59">
        <v>0</v>
      </c>
      <c r="CZ90" s="59">
        <v>0</v>
      </c>
      <c r="DA90" s="54"/>
      <c r="DB90" s="59">
        <v>0</v>
      </c>
      <c r="DC90" s="54"/>
      <c r="DD90" s="59">
        <v>0</v>
      </c>
      <c r="DE90" s="54"/>
      <c r="DF90" s="59">
        <v>0</v>
      </c>
      <c r="DG90" s="54"/>
      <c r="DH90" s="54"/>
      <c r="DI90" s="70"/>
      <c r="DJ90" s="50">
        <v>0</v>
      </c>
      <c r="DK90" s="50"/>
      <c r="DL90" s="50"/>
      <c r="DM90" s="50"/>
      <c r="DN90" s="70"/>
      <c r="DO90" s="50"/>
      <c r="DP90" s="70"/>
      <c r="DQ90" s="70"/>
      <c r="DR90" s="70"/>
      <c r="DS90" s="70"/>
      <c r="DT90" s="70"/>
      <c r="DU90" s="70"/>
      <c r="DV90" s="70"/>
      <c r="DW90" s="70"/>
      <c r="DX90" s="70"/>
      <c r="DY90" s="70"/>
      <c r="DZ90" s="70"/>
      <c r="EA90" s="70"/>
      <c r="EB90" s="70"/>
      <c r="EC90" s="70"/>
      <c r="ED90" s="70"/>
      <c r="EE90" s="70"/>
      <c r="EF90" s="70"/>
      <c r="EG90" s="70"/>
      <c r="EH90" s="70"/>
      <c r="EI90" s="70"/>
    </row>
    <row r="91" spans="1:139" s="47" customFormat="1" ht="39.75" customHeight="1">
      <c r="A91" s="50">
        <v>165</v>
      </c>
      <c r="B91" s="54">
        <v>42902</v>
      </c>
      <c r="C91" s="55">
        <v>42902.330555555556</v>
      </c>
      <c r="D91" s="56">
        <v>38117704</v>
      </c>
      <c r="E91" s="50" t="s">
        <v>460</v>
      </c>
      <c r="F91" s="47" t="b">
        <v>1</v>
      </c>
      <c r="H91" s="50" t="s">
        <v>113</v>
      </c>
      <c r="I91" s="54">
        <v>23230</v>
      </c>
      <c r="J91" s="254">
        <v>53.895890410958906</v>
      </c>
      <c r="K91" s="181">
        <v>646.67981591058515</v>
      </c>
      <c r="L91" s="50" t="s">
        <v>114</v>
      </c>
      <c r="M91" s="186" t="s">
        <v>461</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v>0</v>
      </c>
      <c r="AK91" s="323">
        <f t="shared" si="2"/>
        <v>0</v>
      </c>
      <c r="AL91" s="186"/>
      <c r="AM91" s="58">
        <v>42901</v>
      </c>
      <c r="AN91" s="52" t="s">
        <v>1720</v>
      </c>
      <c r="AO91" s="54">
        <v>42929</v>
      </c>
      <c r="AP91" s="50" t="s">
        <v>462</v>
      </c>
      <c r="AQ91" s="58">
        <v>42902</v>
      </c>
      <c r="AR91" s="52">
        <v>1</v>
      </c>
      <c r="AS91" s="52" t="s">
        <v>463</v>
      </c>
      <c r="AT91" s="323">
        <v>0</v>
      </c>
      <c r="AU91" s="52">
        <v>0</v>
      </c>
      <c r="AV91" s="52">
        <v>0</v>
      </c>
      <c r="AW91" s="52">
        <v>1</v>
      </c>
      <c r="AX91" s="52" t="s">
        <v>464</v>
      </c>
      <c r="AY91" s="70"/>
      <c r="AZ91" s="193"/>
      <c r="BA91" s="47">
        <v>0</v>
      </c>
      <c r="BB91" s="69">
        <v>1</v>
      </c>
      <c r="BC91" s="69">
        <v>30</v>
      </c>
      <c r="BD91" s="69">
        <v>0</v>
      </c>
      <c r="BE91" s="69">
        <v>0</v>
      </c>
      <c r="BF91" s="234">
        <v>0</v>
      </c>
      <c r="BG91" s="766">
        <v>0</v>
      </c>
      <c r="BH91" s="766"/>
      <c r="BI91" s="223">
        <v>1</v>
      </c>
      <c r="BJ91" s="70"/>
      <c r="BK91" s="70">
        <v>0</v>
      </c>
      <c r="BL91" s="70"/>
      <c r="BM91" s="80">
        <v>1</v>
      </c>
      <c r="BN91" s="80" t="s">
        <v>1721</v>
      </c>
      <c r="BO91" s="80">
        <v>1</v>
      </c>
      <c r="BP91" s="80">
        <v>0</v>
      </c>
      <c r="BQ91" s="80">
        <v>1</v>
      </c>
      <c r="BR91" s="80">
        <v>0</v>
      </c>
      <c r="BS91" s="240">
        <v>0</v>
      </c>
      <c r="BT91" s="223">
        <v>0</v>
      </c>
      <c r="BU91" s="70"/>
      <c r="BV91" s="70">
        <v>0</v>
      </c>
      <c r="BW91" s="70">
        <v>0</v>
      </c>
      <c r="BX91" s="70">
        <v>0</v>
      </c>
      <c r="BY91" s="70"/>
      <c r="BZ91" s="70"/>
      <c r="CA91" s="70"/>
      <c r="CB91" s="77">
        <v>0</v>
      </c>
      <c r="CC91" s="77">
        <v>0</v>
      </c>
      <c r="CD91" s="77">
        <v>0</v>
      </c>
      <c r="CE91" s="77"/>
      <c r="CF91" s="77"/>
      <c r="CG91" s="70"/>
      <c r="CH91" s="70">
        <v>0</v>
      </c>
      <c r="CI91" s="70"/>
      <c r="CJ91" s="70">
        <v>0</v>
      </c>
      <c r="CK91" s="70">
        <v>0</v>
      </c>
      <c r="CL91" s="70">
        <v>0</v>
      </c>
      <c r="CM91" s="47">
        <v>88</v>
      </c>
      <c r="CN91" s="47">
        <v>47</v>
      </c>
      <c r="CP91" s="504">
        <v>31.2</v>
      </c>
      <c r="CQ91" s="504">
        <v>34.799999999999997</v>
      </c>
      <c r="CR91" s="54">
        <v>42901</v>
      </c>
      <c r="CS91" s="54">
        <v>42915</v>
      </c>
      <c r="CT91" s="78">
        <v>13</v>
      </c>
      <c r="CU91" s="79">
        <v>43171</v>
      </c>
      <c r="CV91" s="59">
        <v>0</v>
      </c>
      <c r="CW91" s="54"/>
      <c r="CX91" s="59">
        <v>0</v>
      </c>
      <c r="CY91" s="59">
        <v>0</v>
      </c>
      <c r="CZ91" s="59">
        <v>0</v>
      </c>
      <c r="DA91" s="54"/>
      <c r="DB91" s="59">
        <v>0</v>
      </c>
      <c r="DC91" s="54"/>
      <c r="DD91" s="59">
        <v>0</v>
      </c>
      <c r="DE91" s="54"/>
      <c r="DF91" s="59">
        <v>0</v>
      </c>
      <c r="DG91" s="54"/>
      <c r="DH91" s="54"/>
      <c r="DI91" s="70"/>
      <c r="DJ91" s="50">
        <v>0</v>
      </c>
      <c r="DK91" s="50"/>
      <c r="DL91" s="50"/>
      <c r="DM91" s="50"/>
      <c r="DN91" s="70"/>
      <c r="DO91" s="50"/>
      <c r="DP91" s="70"/>
      <c r="DQ91" s="70"/>
      <c r="DR91" s="70"/>
      <c r="DS91" s="70"/>
      <c r="DT91" s="70"/>
      <c r="DU91" s="70"/>
      <c r="DV91" s="70"/>
      <c r="DW91" s="70"/>
      <c r="DX91" s="70"/>
      <c r="DY91" s="70"/>
      <c r="DZ91" s="70"/>
      <c r="EA91" s="70"/>
      <c r="EB91" s="70"/>
      <c r="EC91" s="70"/>
      <c r="ED91" s="70"/>
      <c r="EE91" s="70"/>
      <c r="EF91" s="70"/>
      <c r="EG91" s="70"/>
      <c r="EH91" s="70"/>
      <c r="EI91" s="70"/>
    </row>
    <row r="92" spans="1:139" s="48" customFormat="1" ht="39.75" customHeight="1">
      <c r="A92" s="60">
        <v>167</v>
      </c>
      <c r="B92" s="61">
        <v>42870</v>
      </c>
      <c r="C92" s="62">
        <v>42870.711805555555</v>
      </c>
      <c r="D92" s="63">
        <v>37050877</v>
      </c>
      <c r="E92" s="60" t="s">
        <v>465</v>
      </c>
      <c r="F92" s="48" t="b">
        <v>0</v>
      </c>
      <c r="G92" s="48" t="s">
        <v>1699</v>
      </c>
      <c r="H92" s="60" t="s">
        <v>113</v>
      </c>
      <c r="I92" s="61">
        <v>18686</v>
      </c>
      <c r="J92" s="94">
        <v>66.257534246575347</v>
      </c>
      <c r="K92" s="85">
        <v>795.00328731097954</v>
      </c>
      <c r="L92" s="60" t="s">
        <v>121</v>
      </c>
      <c r="M92" s="187" t="s">
        <v>466</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c r="AK92" s="324">
        <f t="shared" si="2"/>
        <v>0</v>
      </c>
      <c r="AL92" s="187"/>
      <c r="AM92" s="191"/>
      <c r="AN92" s="51"/>
      <c r="AO92" s="61"/>
      <c r="AP92" s="60"/>
      <c r="AQ92" s="191"/>
      <c r="AR92" s="51"/>
      <c r="AS92" s="51"/>
      <c r="AT92" s="324"/>
      <c r="AU92" s="51"/>
      <c r="AV92" s="51"/>
      <c r="AW92" s="51"/>
      <c r="AX92" s="51" t="s">
        <v>467</v>
      </c>
      <c r="AY92" s="71"/>
      <c r="AZ92" s="91"/>
      <c r="BB92" s="82"/>
      <c r="BC92" s="82"/>
      <c r="BD92" s="82"/>
      <c r="BE92" s="82"/>
      <c r="BF92" s="235"/>
      <c r="BG92" s="767"/>
      <c r="BH92" s="767"/>
      <c r="BI92" s="224"/>
      <c r="BJ92" s="71"/>
      <c r="BK92" s="71"/>
      <c r="BL92" s="71"/>
      <c r="BM92" s="71"/>
      <c r="BN92" s="71"/>
      <c r="BO92" s="71"/>
      <c r="BP92" s="71"/>
      <c r="BQ92" s="71"/>
      <c r="BR92" s="71"/>
      <c r="BS92" s="241"/>
      <c r="BT92" s="239"/>
      <c r="BU92" s="118"/>
      <c r="BV92" s="118"/>
      <c r="BW92" s="118"/>
      <c r="BX92" s="71"/>
      <c r="BY92" s="71"/>
      <c r="BZ92" s="71"/>
      <c r="CA92" s="71"/>
      <c r="CB92" s="71"/>
      <c r="CC92" s="71"/>
      <c r="CD92" s="71"/>
      <c r="CE92" s="71"/>
      <c r="CF92" s="71"/>
      <c r="CG92" s="71"/>
      <c r="CH92" s="71"/>
      <c r="CI92" s="71"/>
      <c r="CJ92" s="71"/>
      <c r="CK92" s="71"/>
      <c r="CL92" s="71"/>
      <c r="CM92" s="48">
        <v>245</v>
      </c>
      <c r="CN92" s="48">
        <v>205</v>
      </c>
      <c r="CP92" s="505">
        <v>30.9</v>
      </c>
      <c r="CQ92" s="505">
        <v>31.9</v>
      </c>
      <c r="CR92" s="61">
        <v>42867</v>
      </c>
      <c r="CS92" s="61">
        <v>42952</v>
      </c>
      <c r="CT92" s="83">
        <v>82</v>
      </c>
      <c r="CU92" s="84"/>
      <c r="CV92" s="65"/>
      <c r="CW92" s="61"/>
      <c r="CX92" s="65"/>
      <c r="CY92" s="65"/>
      <c r="CZ92" s="65"/>
      <c r="DA92" s="61"/>
      <c r="DB92" s="65"/>
      <c r="DC92" s="61"/>
      <c r="DD92" s="65"/>
      <c r="DE92" s="61"/>
      <c r="DF92" s="65"/>
      <c r="DG92" s="61"/>
      <c r="DH92" s="61"/>
      <c r="DI92" s="71"/>
      <c r="DJ92" s="60">
        <v>0</v>
      </c>
      <c r="DK92" s="60"/>
      <c r="DL92" s="60"/>
      <c r="DM92" s="60"/>
      <c r="DN92" s="71"/>
      <c r="DO92" s="60"/>
      <c r="DP92" s="71"/>
      <c r="DQ92" s="71"/>
      <c r="DR92" s="71"/>
      <c r="DS92" s="71"/>
      <c r="DT92" s="71"/>
      <c r="DU92" s="71"/>
      <c r="DV92" s="71"/>
      <c r="DW92" s="71"/>
      <c r="DX92" s="71"/>
      <c r="DY92" s="71"/>
      <c r="DZ92" s="71"/>
      <c r="EA92" s="71"/>
      <c r="EB92" s="71"/>
      <c r="EC92" s="71"/>
      <c r="ED92" s="71"/>
      <c r="EE92" s="71"/>
      <c r="EF92" s="71"/>
      <c r="EG92" s="71"/>
      <c r="EH92" s="71"/>
      <c r="EI92" s="71"/>
    </row>
    <row r="93" spans="1:139" s="47" customFormat="1" ht="39.75" customHeight="1">
      <c r="A93" s="50">
        <v>170</v>
      </c>
      <c r="B93" s="54">
        <v>42821</v>
      </c>
      <c r="C93" s="55">
        <v>42821.309027777781</v>
      </c>
      <c r="D93" s="56">
        <v>37639302</v>
      </c>
      <c r="E93" s="50" t="s">
        <v>468</v>
      </c>
      <c r="F93" s="47" t="b">
        <v>1</v>
      </c>
      <c r="H93" s="50" t="s">
        <v>418</v>
      </c>
      <c r="I93" s="54">
        <v>27297</v>
      </c>
      <c r="J93" s="255">
        <v>42.531506849315072</v>
      </c>
      <c r="K93" s="181">
        <v>510.32215647600259</v>
      </c>
      <c r="L93" s="50" t="s">
        <v>419</v>
      </c>
      <c r="M93" s="186" t="s">
        <v>469</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v>0</v>
      </c>
      <c r="AK93" s="323">
        <f t="shared" si="2"/>
        <v>0</v>
      </c>
      <c r="AL93" s="186"/>
      <c r="AM93" s="58">
        <v>42817</v>
      </c>
      <c r="AN93" s="52" t="s">
        <v>1722</v>
      </c>
      <c r="AO93" s="54">
        <v>42844</v>
      </c>
      <c r="AP93" s="50" t="s">
        <v>1723</v>
      </c>
      <c r="AQ93" s="58">
        <v>42816</v>
      </c>
      <c r="AR93" s="52">
        <v>1</v>
      </c>
      <c r="AS93" s="52" t="s">
        <v>1694</v>
      </c>
      <c r="AT93" s="323">
        <v>0</v>
      </c>
      <c r="AU93" s="52">
        <v>0</v>
      </c>
      <c r="AV93" s="52">
        <v>1</v>
      </c>
      <c r="AW93" s="52">
        <v>1</v>
      </c>
      <c r="AX93" s="50" t="s">
        <v>470</v>
      </c>
      <c r="AY93" s="70"/>
      <c r="AZ93" s="193" t="s">
        <v>1680</v>
      </c>
      <c r="BA93" s="47">
        <v>0</v>
      </c>
      <c r="BB93" s="69">
        <v>1</v>
      </c>
      <c r="BC93" s="69"/>
      <c r="BD93" s="69">
        <v>0</v>
      </c>
      <c r="BE93" s="69">
        <v>0</v>
      </c>
      <c r="BF93" s="234">
        <v>1</v>
      </c>
      <c r="BG93" s="766">
        <v>0</v>
      </c>
      <c r="BH93" s="766"/>
      <c r="BI93" s="223">
        <v>0</v>
      </c>
      <c r="BJ93" s="70"/>
      <c r="BK93" s="70">
        <v>0</v>
      </c>
      <c r="BL93" s="70"/>
      <c r="BM93" s="70">
        <v>0</v>
      </c>
      <c r="BN93" s="70"/>
      <c r="BO93" s="70">
        <v>0</v>
      </c>
      <c r="BP93" s="70">
        <v>0</v>
      </c>
      <c r="BQ93" s="70">
        <v>0</v>
      </c>
      <c r="BR93" s="70">
        <v>0</v>
      </c>
      <c r="BS93" s="240">
        <v>0</v>
      </c>
      <c r="BT93" s="223">
        <v>1</v>
      </c>
      <c r="BU93" s="70" t="s">
        <v>1724</v>
      </c>
      <c r="BV93" s="70">
        <v>0</v>
      </c>
      <c r="BW93" s="70">
        <v>0</v>
      </c>
      <c r="BX93" s="70">
        <v>0</v>
      </c>
      <c r="BY93" s="70"/>
      <c r="BZ93" s="70"/>
      <c r="CA93" s="70"/>
      <c r="CB93" s="70">
        <v>0</v>
      </c>
      <c r="CC93" s="70">
        <v>0</v>
      </c>
      <c r="CD93" s="70">
        <v>0</v>
      </c>
      <c r="CE93" s="70"/>
      <c r="CF93" s="70"/>
      <c r="CG93" s="70"/>
      <c r="CH93" s="70">
        <v>0</v>
      </c>
      <c r="CI93" s="70"/>
      <c r="CJ93" s="70">
        <v>0</v>
      </c>
      <c r="CK93" s="70">
        <v>0</v>
      </c>
      <c r="CL93" s="70">
        <v>0</v>
      </c>
      <c r="CM93" s="47">
        <v>74</v>
      </c>
      <c r="CN93" s="47">
        <v>51</v>
      </c>
      <c r="CP93" s="504">
        <v>29.6</v>
      </c>
      <c r="CQ93" s="504">
        <v>31</v>
      </c>
      <c r="CR93" s="54">
        <v>42815</v>
      </c>
      <c r="CS93" s="54">
        <v>42845</v>
      </c>
      <c r="CT93" s="78">
        <v>24</v>
      </c>
      <c r="CU93" s="79">
        <v>43244</v>
      </c>
      <c r="CV93" s="59">
        <v>0</v>
      </c>
      <c r="CW93" s="54"/>
      <c r="CX93" s="59">
        <v>0</v>
      </c>
      <c r="CY93" s="59">
        <v>0</v>
      </c>
      <c r="CZ93" s="59">
        <v>0</v>
      </c>
      <c r="DA93" s="54"/>
      <c r="DB93" s="59">
        <v>0</v>
      </c>
      <c r="DC93" s="54"/>
      <c r="DD93" s="59">
        <v>0</v>
      </c>
      <c r="DE93" s="54"/>
      <c r="DF93" s="59">
        <v>0</v>
      </c>
      <c r="DG93" s="54"/>
      <c r="DH93" s="54"/>
      <c r="DI93" s="70"/>
      <c r="DJ93" s="50">
        <v>0</v>
      </c>
      <c r="DK93" s="50"/>
      <c r="DL93" s="50"/>
      <c r="DM93" s="50"/>
      <c r="DN93" s="70"/>
      <c r="DO93" s="50"/>
      <c r="DP93" s="70"/>
      <c r="DQ93" s="70"/>
      <c r="DR93" s="70"/>
      <c r="DS93" s="70"/>
      <c r="DT93" s="70"/>
      <c r="DU93" s="70"/>
      <c r="DV93" s="70"/>
      <c r="DW93" s="70"/>
      <c r="DX93" s="70"/>
      <c r="DY93" s="70"/>
      <c r="DZ93" s="70"/>
      <c r="EA93" s="70"/>
      <c r="EB93" s="70"/>
      <c r="EC93" s="70"/>
      <c r="ED93" s="70"/>
      <c r="EE93" s="70"/>
      <c r="EF93" s="70"/>
      <c r="EG93" s="70"/>
      <c r="EH93" s="70"/>
      <c r="EI93" s="70"/>
    </row>
    <row r="94" spans="1:139" s="48" customFormat="1" ht="39.75" customHeight="1">
      <c r="A94" s="60">
        <v>174</v>
      </c>
      <c r="B94" s="61">
        <v>42790</v>
      </c>
      <c r="C94" s="62">
        <v>42790.336111111108</v>
      </c>
      <c r="D94" s="63">
        <v>37499766</v>
      </c>
      <c r="E94" s="60" t="s">
        <v>471</v>
      </c>
      <c r="F94" s="48" t="b">
        <v>0</v>
      </c>
      <c r="G94" s="48" t="s">
        <v>1699</v>
      </c>
      <c r="H94" s="60" t="s">
        <v>113</v>
      </c>
      <c r="I94" s="61">
        <v>18831</v>
      </c>
      <c r="J94" s="110">
        <v>65.641095890410952</v>
      </c>
      <c r="K94" s="85">
        <v>787.60683760683753</v>
      </c>
      <c r="L94" s="60" t="s">
        <v>121</v>
      </c>
      <c r="M94" s="187" t="s">
        <v>472</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c r="AK94" s="324">
        <f t="shared" si="2"/>
        <v>0</v>
      </c>
      <c r="AL94" s="187"/>
      <c r="AM94" s="191"/>
      <c r="AN94" s="51"/>
      <c r="AO94" s="61"/>
      <c r="AP94" s="60"/>
      <c r="AQ94" s="191"/>
      <c r="AR94" s="51"/>
      <c r="AS94" s="51"/>
      <c r="AT94" s="324"/>
      <c r="AU94" s="51"/>
      <c r="AV94" s="51"/>
      <c r="AW94" s="51"/>
      <c r="AX94" s="51" t="s">
        <v>474</v>
      </c>
      <c r="AY94" s="71"/>
      <c r="AZ94" s="91"/>
      <c r="BB94" s="82"/>
      <c r="BC94" s="82"/>
      <c r="BD94" s="82"/>
      <c r="BE94" s="82"/>
      <c r="BF94" s="235"/>
      <c r="BG94" s="767"/>
      <c r="BH94" s="767"/>
      <c r="BI94" s="224"/>
      <c r="BJ94" s="71"/>
      <c r="BK94" s="71"/>
      <c r="BL94" s="71"/>
      <c r="BM94" s="71"/>
      <c r="BN94" s="71"/>
      <c r="BO94" s="71"/>
      <c r="BP94" s="71"/>
      <c r="BQ94" s="71"/>
      <c r="BR94" s="71"/>
      <c r="BS94" s="241"/>
      <c r="BT94" s="224" t="s">
        <v>473</v>
      </c>
      <c r="BU94" s="71"/>
      <c r="BV94" s="71"/>
      <c r="BW94" s="71"/>
      <c r="BX94" s="71"/>
      <c r="BY94" s="71"/>
      <c r="BZ94" s="71"/>
      <c r="CA94" s="71"/>
      <c r="CB94" s="71"/>
      <c r="CC94" s="71"/>
      <c r="CD94" s="71"/>
      <c r="CE94" s="71"/>
      <c r="CF94" s="71"/>
      <c r="CG94" s="71"/>
      <c r="CH94" s="71"/>
      <c r="CI94" s="71"/>
      <c r="CJ94" s="71"/>
      <c r="CK94" s="71"/>
      <c r="CL94" s="71"/>
      <c r="CM94" s="48">
        <v>171</v>
      </c>
      <c r="CN94" s="48">
        <v>135</v>
      </c>
      <c r="CP94" s="505">
        <v>29.7</v>
      </c>
      <c r="CQ94" s="505">
        <v>30.2</v>
      </c>
      <c r="CR94" s="61">
        <v>42788</v>
      </c>
      <c r="CS94" s="61">
        <v>42803</v>
      </c>
      <c r="CT94" s="83">
        <v>13</v>
      </c>
      <c r="CU94" s="84"/>
      <c r="CV94" s="65"/>
      <c r="CW94" s="61"/>
      <c r="CX94" s="65"/>
      <c r="CY94" s="65"/>
      <c r="CZ94" s="65"/>
      <c r="DA94" s="61"/>
      <c r="DB94" s="65"/>
      <c r="DC94" s="61"/>
      <c r="DD94" s="65"/>
      <c r="DE94" s="61"/>
      <c r="DF94" s="65"/>
      <c r="DG94" s="61"/>
      <c r="DH94" s="61"/>
      <c r="DI94" s="71"/>
      <c r="DJ94" s="60">
        <v>0</v>
      </c>
      <c r="DK94" s="60"/>
      <c r="DL94" s="60"/>
      <c r="DM94" s="60"/>
      <c r="DN94" s="71"/>
      <c r="DO94" s="60"/>
      <c r="DP94" s="71"/>
      <c r="DQ94" s="71"/>
      <c r="DR94" s="71"/>
      <c r="DS94" s="71"/>
      <c r="DT94" s="71"/>
      <c r="DU94" s="71"/>
      <c r="DV94" s="71"/>
      <c r="DW94" s="71"/>
      <c r="DX94" s="71"/>
      <c r="DY94" s="71"/>
      <c r="DZ94" s="71"/>
      <c r="EA94" s="71"/>
      <c r="EB94" s="71"/>
      <c r="EC94" s="71"/>
      <c r="ED94" s="71"/>
      <c r="EE94" s="71"/>
      <c r="EF94" s="71"/>
      <c r="EG94" s="71"/>
      <c r="EH94" s="71"/>
      <c r="EI94" s="71"/>
    </row>
    <row r="95" spans="1:139" s="47" customFormat="1" ht="39.75" customHeight="1">
      <c r="A95" s="50">
        <v>175</v>
      </c>
      <c r="B95" s="54">
        <v>42778</v>
      </c>
      <c r="C95" s="55">
        <v>42778.37777777778</v>
      </c>
      <c r="D95" s="56">
        <v>37277508</v>
      </c>
      <c r="E95" s="50" t="s">
        <v>475</v>
      </c>
      <c r="F95" s="47" t="b">
        <v>1</v>
      </c>
      <c r="H95" s="50" t="s">
        <v>441</v>
      </c>
      <c r="I95" s="54">
        <v>18513</v>
      </c>
      <c r="J95" s="254">
        <v>66.479452054794521</v>
      </c>
      <c r="K95" s="181">
        <v>797.6660092044707</v>
      </c>
      <c r="L95" s="50" t="s">
        <v>442</v>
      </c>
      <c r="M95" s="186" t="s">
        <v>476</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59">
        <v>0</v>
      </c>
      <c r="AK95" s="323">
        <f t="shared" si="2"/>
        <v>0</v>
      </c>
      <c r="AL95" s="257"/>
      <c r="AM95" s="54">
        <v>42776</v>
      </c>
      <c r="AN95" s="50" t="s">
        <v>1725</v>
      </c>
      <c r="AO95" s="54">
        <v>42827</v>
      </c>
      <c r="AP95" s="50" t="s">
        <v>1713</v>
      </c>
      <c r="AQ95" s="54"/>
      <c r="AR95" s="50">
        <v>1</v>
      </c>
      <c r="AS95" s="50" t="s">
        <v>1694</v>
      </c>
      <c r="AT95" s="59">
        <v>0</v>
      </c>
      <c r="AU95" s="50">
        <v>0</v>
      </c>
      <c r="AV95" s="50">
        <v>0</v>
      </c>
      <c r="AW95" s="50">
        <v>1</v>
      </c>
      <c r="AX95" s="52" t="s">
        <v>477</v>
      </c>
      <c r="AY95" s="70"/>
      <c r="AZ95" s="193" t="s">
        <v>1726</v>
      </c>
      <c r="BA95" s="47">
        <v>0</v>
      </c>
      <c r="BB95" s="69">
        <v>1</v>
      </c>
      <c r="BC95" s="69"/>
      <c r="BD95" s="69">
        <v>0</v>
      </c>
      <c r="BE95" s="69">
        <v>0</v>
      </c>
      <c r="BF95" s="234">
        <v>0</v>
      </c>
      <c r="BG95" s="766">
        <v>0</v>
      </c>
      <c r="BH95" s="766"/>
      <c r="BI95" s="223">
        <v>0</v>
      </c>
      <c r="BJ95" s="70"/>
      <c r="BK95" s="70">
        <v>0</v>
      </c>
      <c r="BL95" s="70"/>
      <c r="BM95" s="70">
        <v>0</v>
      </c>
      <c r="BN95" s="70"/>
      <c r="BO95" s="70">
        <v>0</v>
      </c>
      <c r="BP95" s="70">
        <v>0</v>
      </c>
      <c r="BQ95" s="70">
        <v>0</v>
      </c>
      <c r="BR95" s="70">
        <v>0</v>
      </c>
      <c r="BS95" s="240">
        <v>0</v>
      </c>
      <c r="BT95" s="252">
        <v>1</v>
      </c>
      <c r="BU95" s="253" t="s">
        <v>1727</v>
      </c>
      <c r="BV95" s="253">
        <v>0</v>
      </c>
      <c r="BW95" s="253">
        <v>0</v>
      </c>
      <c r="BX95" s="70">
        <v>0</v>
      </c>
      <c r="BY95" s="70"/>
      <c r="BZ95" s="70"/>
      <c r="CA95" s="70"/>
      <c r="CB95" s="70">
        <v>0</v>
      </c>
      <c r="CC95" s="70">
        <v>1</v>
      </c>
      <c r="CD95" s="70">
        <v>0</v>
      </c>
      <c r="CE95" s="70"/>
      <c r="CF95" s="70" t="s">
        <v>1685</v>
      </c>
      <c r="CG95" s="70" t="s">
        <v>1728</v>
      </c>
      <c r="CH95" s="70">
        <v>0</v>
      </c>
      <c r="CI95" s="70"/>
      <c r="CJ95" s="70">
        <v>0</v>
      </c>
      <c r="CK95" s="70">
        <v>0</v>
      </c>
      <c r="CL95" s="70">
        <v>0</v>
      </c>
      <c r="CM95" s="47">
        <v>167</v>
      </c>
      <c r="CN95" s="47">
        <v>138</v>
      </c>
      <c r="CP95" s="504">
        <v>29.4</v>
      </c>
      <c r="CQ95" s="504">
        <v>32</v>
      </c>
      <c r="CR95" s="54">
        <v>42776</v>
      </c>
      <c r="CS95" s="54">
        <v>42814</v>
      </c>
      <c r="CT95" s="78">
        <v>36</v>
      </c>
      <c r="CU95" s="79">
        <v>43909</v>
      </c>
      <c r="CV95" s="59">
        <v>1</v>
      </c>
      <c r="CW95" s="54">
        <v>43909</v>
      </c>
      <c r="CX95" s="59">
        <v>0</v>
      </c>
      <c r="CY95" s="59">
        <v>0</v>
      </c>
      <c r="CZ95" s="59">
        <v>1</v>
      </c>
      <c r="DA95" s="54" t="s">
        <v>1729</v>
      </c>
      <c r="DB95" s="59">
        <v>0</v>
      </c>
      <c r="DC95" s="54"/>
      <c r="DD95" s="59">
        <v>0</v>
      </c>
      <c r="DE95" s="54"/>
      <c r="DF95" s="59">
        <v>0</v>
      </c>
      <c r="DG95" s="54"/>
      <c r="DH95" s="54"/>
      <c r="DI95" s="70"/>
      <c r="DJ95" s="50">
        <v>0</v>
      </c>
      <c r="DK95" s="50"/>
      <c r="DL95" s="50"/>
      <c r="DM95" s="50"/>
      <c r="DN95" s="70"/>
      <c r="DO95" s="50"/>
      <c r="DP95" s="70"/>
      <c r="DQ95" s="70"/>
      <c r="DR95" s="70"/>
      <c r="DS95" s="70"/>
      <c r="DT95" s="70"/>
      <c r="DU95" s="70"/>
      <c r="DV95" s="70"/>
      <c r="DW95" s="70"/>
      <c r="DX95" s="70"/>
      <c r="DY95" s="70"/>
      <c r="DZ95" s="70"/>
      <c r="EA95" s="70"/>
      <c r="EB95" s="70"/>
      <c r="EC95" s="70"/>
      <c r="ED95" s="70"/>
      <c r="EE95" s="70"/>
      <c r="EF95" s="70"/>
      <c r="EG95" s="70"/>
      <c r="EH95" s="70"/>
      <c r="EI95" s="70"/>
    </row>
    <row r="96" spans="1:139" s="196" customFormat="1" ht="39.75" customHeight="1">
      <c r="A96" s="90">
        <v>176</v>
      </c>
      <c r="B96" s="88">
        <v>42774</v>
      </c>
      <c r="C96" s="194">
        <v>42774.830555555556</v>
      </c>
      <c r="D96" s="195">
        <v>36573605</v>
      </c>
      <c r="E96" s="90" t="s">
        <v>478</v>
      </c>
      <c r="F96" s="196" t="s">
        <v>1796</v>
      </c>
      <c r="G96" s="196" t="s">
        <v>1730</v>
      </c>
      <c r="H96" s="90" t="s">
        <v>418</v>
      </c>
      <c r="I96" s="88">
        <v>19976</v>
      </c>
      <c r="J96" s="259">
        <v>62.460273972602742</v>
      </c>
      <c r="K96" s="197">
        <v>749.4411571334648</v>
      </c>
      <c r="L96" s="90" t="s">
        <v>442</v>
      </c>
      <c r="M96" s="198" t="s">
        <v>479</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c r="AK96" s="326">
        <f t="shared" si="2"/>
        <v>0</v>
      </c>
      <c r="AL96" s="198"/>
      <c r="AM96" s="199"/>
      <c r="AN96" s="200"/>
      <c r="AO96" s="88"/>
      <c r="AP96" s="90"/>
      <c r="AQ96" s="199"/>
      <c r="AR96" s="200"/>
      <c r="AS96" s="200"/>
      <c r="AT96" s="326"/>
      <c r="AU96" s="200"/>
      <c r="AV96" s="200"/>
      <c r="AW96" s="200"/>
      <c r="AX96" s="200" t="s">
        <v>480</v>
      </c>
      <c r="AY96" s="201"/>
      <c r="AZ96" s="202"/>
      <c r="BB96" s="203"/>
      <c r="BC96" s="203"/>
      <c r="BD96" s="203"/>
      <c r="BE96" s="203"/>
      <c r="BF96" s="236"/>
      <c r="BG96" s="768"/>
      <c r="BH96" s="768"/>
      <c r="BI96" s="226"/>
      <c r="BJ96" s="201"/>
      <c r="BK96" s="201"/>
      <c r="BL96" s="201"/>
      <c r="BM96" s="201"/>
      <c r="BN96" s="201"/>
      <c r="BO96" s="201"/>
      <c r="BP96" s="201"/>
      <c r="BQ96" s="201"/>
      <c r="BR96" s="201"/>
      <c r="BS96" s="243"/>
      <c r="BT96" s="226"/>
      <c r="BU96" s="201"/>
      <c r="BV96" s="201"/>
      <c r="BW96" s="201"/>
      <c r="BX96" s="201"/>
      <c r="BY96" s="201"/>
      <c r="BZ96" s="201"/>
      <c r="CA96" s="201"/>
      <c r="CB96" s="201"/>
      <c r="CC96" s="201"/>
      <c r="CD96" s="201"/>
      <c r="CE96" s="201"/>
      <c r="CF96" s="201">
        <v>1</v>
      </c>
      <c r="CG96" s="201"/>
      <c r="CH96" s="201"/>
      <c r="CI96" s="201"/>
      <c r="CJ96" s="201"/>
      <c r="CK96" s="201"/>
      <c r="CL96" s="201"/>
      <c r="CM96" s="196">
        <v>148</v>
      </c>
      <c r="CN96" s="196">
        <v>125</v>
      </c>
      <c r="CP96" s="506">
        <v>30.9</v>
      </c>
      <c r="CQ96" s="506">
        <v>32.700000000000003</v>
      </c>
      <c r="CR96" s="88">
        <v>42772</v>
      </c>
      <c r="CS96" s="88">
        <v>42787</v>
      </c>
      <c r="CT96" s="205">
        <v>13</v>
      </c>
      <c r="CU96" s="206"/>
      <c r="CV96" s="89"/>
      <c r="CW96" s="88"/>
      <c r="CX96" s="89"/>
      <c r="CY96" s="89"/>
      <c r="CZ96" s="89"/>
      <c r="DA96" s="88"/>
      <c r="DB96" s="89"/>
      <c r="DC96" s="88"/>
      <c r="DD96" s="89"/>
      <c r="DE96" s="88"/>
      <c r="DF96" s="89"/>
      <c r="DG96" s="88"/>
      <c r="DH96" s="88"/>
      <c r="DI96" s="201"/>
      <c r="DJ96" s="90">
        <v>0</v>
      </c>
      <c r="DK96" s="90"/>
      <c r="DL96" s="90"/>
      <c r="DM96" s="90"/>
      <c r="DN96" s="201"/>
      <c r="DO96" s="90"/>
      <c r="DP96" s="201"/>
      <c r="DQ96" s="201"/>
      <c r="DR96" s="201"/>
      <c r="DS96" s="201"/>
      <c r="DT96" s="201"/>
      <c r="DU96" s="201"/>
      <c r="DV96" s="201"/>
      <c r="DW96" s="201"/>
      <c r="DX96" s="201"/>
      <c r="DY96" s="201"/>
      <c r="DZ96" s="201"/>
      <c r="EA96" s="201"/>
      <c r="EB96" s="201"/>
      <c r="EC96" s="201"/>
      <c r="ED96" s="201"/>
      <c r="EE96" s="201"/>
      <c r="EF96" s="201"/>
      <c r="EG96" s="201"/>
      <c r="EH96" s="201"/>
      <c r="EI96" s="201"/>
    </row>
    <row r="97" spans="1:139" s="47" customFormat="1" ht="39.75" customHeight="1">
      <c r="A97" s="50">
        <v>177</v>
      </c>
      <c r="B97" s="54">
        <v>42749</v>
      </c>
      <c r="C97" s="55">
        <v>42749.335416666669</v>
      </c>
      <c r="D97" s="56">
        <v>31648834</v>
      </c>
      <c r="E97" s="50" t="s">
        <v>481</v>
      </c>
      <c r="F97" s="47" t="b">
        <v>1</v>
      </c>
      <c r="H97" s="50" t="s">
        <v>418</v>
      </c>
      <c r="I97" s="54">
        <v>30852</v>
      </c>
      <c r="J97" s="254">
        <v>32.594520547945208</v>
      </c>
      <c r="K97" s="181">
        <v>391.09138724523336</v>
      </c>
      <c r="L97" s="50" t="s">
        <v>442</v>
      </c>
      <c r="M97" s="186" t="s">
        <v>482</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v>0</v>
      </c>
      <c r="AK97" s="323">
        <f t="shared" si="2"/>
        <v>0</v>
      </c>
      <c r="AL97" s="186" t="s">
        <v>483</v>
      </c>
      <c r="AM97" s="58">
        <v>42748</v>
      </c>
      <c r="AN97" s="52" t="s">
        <v>1530</v>
      </c>
      <c r="AO97" s="54">
        <v>42798</v>
      </c>
      <c r="AP97" s="50" t="s">
        <v>187</v>
      </c>
      <c r="AQ97" s="58">
        <v>42748</v>
      </c>
      <c r="AR97" s="52">
        <v>0</v>
      </c>
      <c r="AS97" s="52"/>
      <c r="AT97" s="323">
        <v>0</v>
      </c>
      <c r="AU97" s="52">
        <v>0</v>
      </c>
      <c r="AV97" s="52">
        <v>0</v>
      </c>
      <c r="AW97" s="52">
        <v>1</v>
      </c>
      <c r="AX97" s="52" t="s">
        <v>484</v>
      </c>
      <c r="AY97" s="70"/>
      <c r="AZ97" s="193"/>
      <c r="BA97" s="47">
        <v>0</v>
      </c>
      <c r="BB97" s="69">
        <v>1</v>
      </c>
      <c r="BC97" s="69">
        <v>20</v>
      </c>
      <c r="BD97" s="69">
        <v>0</v>
      </c>
      <c r="BE97" s="69">
        <v>0</v>
      </c>
      <c r="BF97" s="234">
        <v>0</v>
      </c>
      <c r="BG97" s="766">
        <v>0</v>
      </c>
      <c r="BH97" s="766"/>
      <c r="BI97" s="223">
        <v>1</v>
      </c>
      <c r="BJ97" s="70"/>
      <c r="BK97" s="70">
        <v>1</v>
      </c>
      <c r="BL97" s="70" t="s">
        <v>1731</v>
      </c>
      <c r="BM97" s="70">
        <v>1</v>
      </c>
      <c r="BN97" s="70" t="s">
        <v>1732</v>
      </c>
      <c r="BO97" s="70">
        <v>0</v>
      </c>
      <c r="BP97" s="70">
        <v>0</v>
      </c>
      <c r="BQ97" s="70">
        <v>0</v>
      </c>
      <c r="BR97" s="70">
        <v>0</v>
      </c>
      <c r="BS97" s="240">
        <v>1</v>
      </c>
      <c r="BT97" s="223">
        <v>0</v>
      </c>
      <c r="BU97" s="70"/>
      <c r="BV97" s="70">
        <v>0</v>
      </c>
      <c r="BW97" s="70">
        <v>0</v>
      </c>
      <c r="BX97" s="70">
        <v>0</v>
      </c>
      <c r="BY97" s="70"/>
      <c r="BZ97" s="70"/>
      <c r="CA97" s="70"/>
      <c r="CB97" s="77">
        <v>0</v>
      </c>
      <c r="CC97" s="77">
        <v>0</v>
      </c>
      <c r="CD97" s="77">
        <v>0</v>
      </c>
      <c r="CE97" s="77"/>
      <c r="CF97" s="77"/>
      <c r="CG97" s="70"/>
      <c r="CH97" s="70">
        <v>0</v>
      </c>
      <c r="CI97" s="70"/>
      <c r="CJ97" s="70">
        <v>0</v>
      </c>
      <c r="CK97" s="70">
        <v>0</v>
      </c>
      <c r="CL97" s="70">
        <v>0</v>
      </c>
      <c r="CM97" s="47">
        <v>154</v>
      </c>
      <c r="CN97" s="47">
        <v>132</v>
      </c>
      <c r="CP97" s="504">
        <v>29.2</v>
      </c>
      <c r="CQ97" s="504">
        <v>31</v>
      </c>
      <c r="CR97" s="54">
        <v>42749</v>
      </c>
      <c r="CS97" s="54">
        <v>42769</v>
      </c>
      <c r="CT97" s="78">
        <v>20</v>
      </c>
      <c r="CU97" s="79">
        <v>44315</v>
      </c>
      <c r="CV97" s="59">
        <v>0</v>
      </c>
      <c r="CW97" s="54"/>
      <c r="CX97" s="59">
        <v>0</v>
      </c>
      <c r="CY97" s="59">
        <v>0</v>
      </c>
      <c r="CZ97" s="59">
        <v>0</v>
      </c>
      <c r="DA97" s="54"/>
      <c r="DB97" s="59">
        <v>0</v>
      </c>
      <c r="DC97" s="54"/>
      <c r="DD97" s="59">
        <v>0</v>
      </c>
      <c r="DE97" s="54"/>
      <c r="DF97" s="59">
        <v>0</v>
      </c>
      <c r="DG97" s="54"/>
      <c r="DH97" s="66"/>
      <c r="DI97" s="70"/>
      <c r="DJ97" s="50">
        <v>0</v>
      </c>
      <c r="DK97" s="50"/>
      <c r="DL97" s="50"/>
      <c r="DM97" s="50"/>
      <c r="DN97" s="70"/>
      <c r="DO97" s="50"/>
      <c r="DP97" s="70"/>
      <c r="DQ97" s="70"/>
      <c r="DR97" s="70"/>
      <c r="DS97" s="70"/>
      <c r="DT97" s="70"/>
      <c r="DU97" s="70"/>
      <c r="DV97" s="70"/>
      <c r="DW97" s="70"/>
      <c r="DX97" s="70"/>
      <c r="DY97" s="70"/>
      <c r="DZ97" s="70"/>
      <c r="EA97" s="70"/>
      <c r="EB97" s="70"/>
      <c r="EC97" s="70"/>
      <c r="ED97" s="70"/>
      <c r="EE97" s="70"/>
      <c r="EF97" s="70"/>
      <c r="EG97" s="70"/>
      <c r="EH97" s="70"/>
      <c r="EI97" s="70"/>
    </row>
    <row r="98" spans="1:139" s="47" customFormat="1" ht="39.75" customHeight="1">
      <c r="A98" s="50">
        <v>179</v>
      </c>
      <c r="B98" s="260">
        <v>42730</v>
      </c>
      <c r="C98" s="55">
        <v>42730.604166666664</v>
      </c>
      <c r="D98" s="261">
        <v>37184754</v>
      </c>
      <c r="E98" s="262" t="s">
        <v>485</v>
      </c>
      <c r="F98" s="47" t="b">
        <v>1</v>
      </c>
      <c r="H98" s="262" t="s">
        <v>418</v>
      </c>
      <c r="I98" s="260">
        <v>27792</v>
      </c>
      <c r="J98" s="255">
        <v>40.926027397260277</v>
      </c>
      <c r="K98" s="181">
        <v>491.05851413543718</v>
      </c>
      <c r="L98" s="262" t="s">
        <v>419</v>
      </c>
      <c r="M98" s="263" t="s">
        <v>486</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7">
        <v>0</v>
      </c>
      <c r="AK98" s="323">
        <f t="shared" si="2"/>
        <v>1</v>
      </c>
      <c r="AL98" s="263"/>
      <c r="AM98" s="264">
        <v>42721</v>
      </c>
      <c r="AN98" s="265" t="s">
        <v>1733</v>
      </c>
      <c r="AO98" s="54">
        <v>42754</v>
      </c>
      <c r="AP98" s="262" t="s">
        <v>1713</v>
      </c>
      <c r="AQ98" s="264"/>
      <c r="AR98" s="265">
        <v>0</v>
      </c>
      <c r="AS98" s="265"/>
      <c r="AT98" s="327">
        <v>0</v>
      </c>
      <c r="AU98" s="265">
        <v>1</v>
      </c>
      <c r="AV98" s="265">
        <v>0</v>
      </c>
      <c r="AW98" s="265">
        <v>1</v>
      </c>
      <c r="AX98" s="265" t="s">
        <v>487</v>
      </c>
      <c r="AY98" s="265"/>
      <c r="AZ98" s="193" t="s">
        <v>1734</v>
      </c>
      <c r="BA98" s="47">
        <v>0</v>
      </c>
      <c r="BB98" s="69">
        <v>1</v>
      </c>
      <c r="BC98" s="69">
        <v>10</v>
      </c>
      <c r="BD98" s="69">
        <v>0</v>
      </c>
      <c r="BE98" s="69">
        <v>0</v>
      </c>
      <c r="BF98" s="234">
        <v>0</v>
      </c>
      <c r="BG98" s="766">
        <v>0</v>
      </c>
      <c r="BH98" s="766"/>
      <c r="BI98" s="223">
        <v>0</v>
      </c>
      <c r="BJ98" s="70"/>
      <c r="BK98" s="70">
        <v>0</v>
      </c>
      <c r="BL98" s="70"/>
      <c r="BM98" s="70">
        <v>0</v>
      </c>
      <c r="BN98" s="70"/>
      <c r="BO98" s="70">
        <v>0</v>
      </c>
      <c r="BP98" s="70">
        <v>0</v>
      </c>
      <c r="BQ98" s="70">
        <v>0</v>
      </c>
      <c r="BR98" s="70">
        <v>0</v>
      </c>
      <c r="BS98" s="266">
        <v>0</v>
      </c>
      <c r="BT98" s="223">
        <v>1</v>
      </c>
      <c r="BU98" s="70" t="s">
        <v>1735</v>
      </c>
      <c r="BV98" s="70">
        <v>0</v>
      </c>
      <c r="BW98" s="70">
        <v>0</v>
      </c>
      <c r="BX98" s="70">
        <v>0</v>
      </c>
      <c r="BY98" s="70"/>
      <c r="BZ98" s="70"/>
      <c r="CA98" s="70"/>
      <c r="CB98" s="70">
        <v>0</v>
      </c>
      <c r="CC98" s="70">
        <v>0</v>
      </c>
      <c r="CD98" s="70">
        <v>0</v>
      </c>
      <c r="CE98" s="70"/>
      <c r="CF98" s="70"/>
      <c r="CG98" s="70"/>
      <c r="CH98" s="70">
        <v>1</v>
      </c>
      <c r="CI98" s="80"/>
      <c r="CJ98" s="70">
        <v>1</v>
      </c>
      <c r="CK98" s="70">
        <v>0</v>
      </c>
      <c r="CL98" s="70">
        <v>0</v>
      </c>
      <c r="CM98" s="47">
        <v>138</v>
      </c>
      <c r="CN98" s="47">
        <v>111</v>
      </c>
      <c r="CP98" s="504">
        <v>30.4</v>
      </c>
      <c r="CQ98" s="504">
        <v>31.8</v>
      </c>
      <c r="CR98" s="260">
        <v>42725</v>
      </c>
      <c r="CS98" s="260">
        <v>42746</v>
      </c>
      <c r="CT98" s="78">
        <v>16</v>
      </c>
      <c r="CU98" s="79">
        <v>44215</v>
      </c>
      <c r="CV98" s="267">
        <v>0</v>
      </c>
      <c r="CW98" s="260"/>
      <c r="CX98" s="267">
        <v>0</v>
      </c>
      <c r="CY98" s="267">
        <v>0</v>
      </c>
      <c r="CZ98" s="267">
        <v>0</v>
      </c>
      <c r="DA98" s="260"/>
      <c r="DB98" s="267">
        <v>0</v>
      </c>
      <c r="DC98" s="260"/>
      <c r="DD98" s="267">
        <v>0</v>
      </c>
      <c r="DE98" s="260"/>
      <c r="DF98" s="267">
        <v>0</v>
      </c>
      <c r="DG98" s="260"/>
      <c r="DH98" s="260"/>
      <c r="DI98" s="70"/>
      <c r="DJ98" s="262">
        <v>0</v>
      </c>
      <c r="DK98" s="255"/>
      <c r="DL98" s="70"/>
      <c r="DM98" s="70"/>
      <c r="DN98" s="70"/>
      <c r="DO98" s="70"/>
      <c r="DP98" s="70"/>
      <c r="DQ98" s="70"/>
      <c r="DR98" s="70"/>
      <c r="DS98" s="70"/>
      <c r="DT98" s="70"/>
      <c r="DU98" s="70"/>
      <c r="DV98" s="70"/>
      <c r="DW98" s="70"/>
      <c r="DX98" s="70"/>
      <c r="DY98" s="70"/>
      <c r="DZ98" s="70"/>
      <c r="EA98" s="70"/>
      <c r="EB98" s="70"/>
      <c r="EC98" s="70"/>
      <c r="ED98" s="70"/>
      <c r="EE98" s="70"/>
      <c r="EF98" s="70"/>
      <c r="EG98" s="70"/>
      <c r="EH98" s="70"/>
      <c r="EI98" s="70"/>
    </row>
    <row r="99" spans="1:139" s="48" customFormat="1" ht="39.75" customHeight="1">
      <c r="A99" s="60">
        <v>180</v>
      </c>
      <c r="B99" s="95">
        <v>42727</v>
      </c>
      <c r="C99" s="62">
        <v>42727.332638888889</v>
      </c>
      <c r="D99" s="96">
        <v>37156452</v>
      </c>
      <c r="E99" s="97" t="s">
        <v>488</v>
      </c>
      <c r="F99" s="48" t="b">
        <v>0</v>
      </c>
      <c r="G99" s="48" t="s">
        <v>1558</v>
      </c>
      <c r="H99" s="97" t="s">
        <v>418</v>
      </c>
      <c r="I99" s="95">
        <v>21271</v>
      </c>
      <c r="J99" s="110">
        <v>58.783561643835618</v>
      </c>
      <c r="K99" s="85">
        <v>705.32544378698219</v>
      </c>
      <c r="L99" s="97" t="s">
        <v>442</v>
      </c>
      <c r="M99" s="268" t="s">
        <v>489</v>
      </c>
      <c r="N99" s="48">
        <v>164.3</v>
      </c>
      <c r="O99" s="48">
        <v>57.5</v>
      </c>
      <c r="P99" s="48">
        <f t="shared" si="3"/>
        <v>21.300643205335607</v>
      </c>
      <c r="Q99" s="100"/>
      <c r="V99" s="100"/>
      <c r="Y99" s="216"/>
      <c r="Z99" s="343"/>
      <c r="AA99" s="328"/>
      <c r="AB99" s="328"/>
      <c r="AC99" s="328"/>
      <c r="AD99" s="328"/>
      <c r="AE99" s="328"/>
      <c r="AF99" s="328"/>
      <c r="AG99" s="328"/>
      <c r="AH99" s="328"/>
      <c r="AI99" s="328"/>
      <c r="AJ99" s="328"/>
      <c r="AK99" s="324">
        <f t="shared" si="2"/>
        <v>0</v>
      </c>
      <c r="AL99" s="268"/>
      <c r="AM99" s="269"/>
      <c r="AN99" s="100"/>
      <c r="AO99" s="61"/>
      <c r="AP99" s="97"/>
      <c r="AQ99" s="269"/>
      <c r="AR99" s="100"/>
      <c r="AS99" s="100"/>
      <c r="AT99" s="328"/>
      <c r="AU99" s="100"/>
      <c r="AV99" s="100"/>
      <c r="AW99" s="100"/>
      <c r="AX99" s="100" t="s">
        <v>491</v>
      </c>
      <c r="AY99" s="100"/>
      <c r="AZ99" s="91">
        <v>1</v>
      </c>
      <c r="BB99" s="82"/>
      <c r="BC99" s="82"/>
      <c r="BD99" s="82"/>
      <c r="BE99" s="82"/>
      <c r="BF99" s="235"/>
      <c r="BG99" s="767"/>
      <c r="BH99" s="767"/>
      <c r="BI99" s="224"/>
      <c r="BJ99" s="71"/>
      <c r="BK99" s="71"/>
      <c r="BL99" s="71"/>
      <c r="BM99" s="71"/>
      <c r="BN99" s="71"/>
      <c r="BO99" s="71"/>
      <c r="BP99" s="71"/>
      <c r="BQ99" s="71"/>
      <c r="BR99" s="71"/>
      <c r="BS99" s="246"/>
      <c r="BT99" s="224" t="s">
        <v>213</v>
      </c>
      <c r="BU99" s="71"/>
      <c r="BV99" s="71"/>
      <c r="BW99" s="71"/>
      <c r="BX99" s="71"/>
      <c r="BY99" s="71"/>
      <c r="BZ99" s="71"/>
      <c r="CA99" s="71"/>
      <c r="CB99" s="71"/>
      <c r="CC99" s="71"/>
      <c r="CD99" s="71"/>
      <c r="CE99" s="71"/>
      <c r="CF99" s="71">
        <v>1</v>
      </c>
      <c r="CG99" s="71"/>
      <c r="CH99" s="71" t="s">
        <v>490</v>
      </c>
      <c r="CI99" s="71"/>
      <c r="CJ99" s="71"/>
      <c r="CK99" s="71"/>
      <c r="CL99" s="71"/>
      <c r="CM99" s="48">
        <v>193</v>
      </c>
      <c r="CN99" s="48">
        <v>163</v>
      </c>
      <c r="CP99" s="505">
        <v>29</v>
      </c>
      <c r="CQ99" s="505">
        <v>29.7</v>
      </c>
      <c r="CR99" s="95">
        <v>42720</v>
      </c>
      <c r="CS99" s="95">
        <v>42735</v>
      </c>
      <c r="CT99" s="83">
        <v>8</v>
      </c>
      <c r="CU99" s="84"/>
      <c r="CV99" s="101"/>
      <c r="CW99" s="95"/>
      <c r="CX99" s="101"/>
      <c r="CY99" s="101"/>
      <c r="CZ99" s="101"/>
      <c r="DA99" s="95"/>
      <c r="DB99" s="101"/>
      <c r="DC99" s="95"/>
      <c r="DD99" s="101"/>
      <c r="DE99" s="95"/>
      <c r="DF99" s="101"/>
      <c r="DG99" s="95"/>
      <c r="DH99" s="95"/>
      <c r="DI99" s="71"/>
      <c r="DJ99" s="97">
        <v>0</v>
      </c>
      <c r="DK99" s="110"/>
      <c r="DL99" s="71"/>
      <c r="DM99" s="71"/>
      <c r="DN99" s="71"/>
      <c r="DO99" s="71"/>
      <c r="DP99" s="71"/>
      <c r="DQ99" s="71"/>
      <c r="DR99" s="71"/>
      <c r="DS99" s="71"/>
      <c r="DT99" s="71"/>
      <c r="DU99" s="71"/>
      <c r="DV99" s="71"/>
      <c r="DW99" s="71"/>
      <c r="DX99" s="71"/>
      <c r="DY99" s="71"/>
      <c r="DZ99" s="71"/>
      <c r="EA99" s="71"/>
      <c r="EB99" s="71"/>
      <c r="EC99" s="71"/>
      <c r="ED99" s="71"/>
      <c r="EE99" s="71"/>
      <c r="EF99" s="71"/>
      <c r="EG99" s="71"/>
      <c r="EH99" s="71"/>
      <c r="EI99" s="71"/>
    </row>
    <row r="100" spans="1:139" s="48" customFormat="1" ht="39.75" customHeight="1">
      <c r="A100" s="60">
        <v>182</v>
      </c>
      <c r="B100" s="95">
        <v>42689</v>
      </c>
      <c r="C100" s="62">
        <v>42689.838194444441</v>
      </c>
      <c r="D100" s="96">
        <v>15629356</v>
      </c>
      <c r="E100" s="97" t="s">
        <v>492</v>
      </c>
      <c r="F100" s="48" t="b">
        <v>0</v>
      </c>
      <c r="G100" s="48" t="s">
        <v>1699</v>
      </c>
      <c r="H100" s="97" t="s">
        <v>441</v>
      </c>
      <c r="I100" s="95">
        <v>20816</v>
      </c>
      <c r="J100" s="110">
        <v>59.926027397260277</v>
      </c>
      <c r="K100" s="85">
        <v>719.03353057199206</v>
      </c>
      <c r="L100" s="97" t="s">
        <v>493</v>
      </c>
      <c r="M100" s="268" t="s">
        <v>494</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8"/>
      <c r="AK100" s="324">
        <f t="shared" si="2"/>
        <v>0</v>
      </c>
      <c r="AL100" s="268"/>
      <c r="AM100" s="269"/>
      <c r="AN100" s="100"/>
      <c r="AO100" s="61"/>
      <c r="AP100" s="97"/>
      <c r="AQ100" s="269"/>
      <c r="AR100" s="100"/>
      <c r="AS100" s="100"/>
      <c r="AT100" s="328"/>
      <c r="AU100" s="100"/>
      <c r="AV100" s="100"/>
      <c r="AW100" s="100"/>
      <c r="AX100" s="100" t="s">
        <v>495</v>
      </c>
      <c r="AY100" s="97"/>
      <c r="AZ100" s="91"/>
      <c r="BB100" s="82"/>
      <c r="BC100" s="82"/>
      <c r="BD100" s="82"/>
      <c r="BE100" s="82"/>
      <c r="BF100" s="235"/>
      <c r="BG100" s="767"/>
      <c r="BH100" s="767"/>
      <c r="BI100" s="224"/>
      <c r="BJ100" s="71"/>
      <c r="BK100" s="71"/>
      <c r="BL100" s="71"/>
      <c r="BM100" s="71"/>
      <c r="BN100" s="71"/>
      <c r="BO100" s="71"/>
      <c r="BP100" s="71"/>
      <c r="BQ100" s="71"/>
      <c r="BR100" s="71"/>
      <c r="BS100" s="246"/>
      <c r="BT100" s="238" t="s">
        <v>213</v>
      </c>
      <c r="BU100" s="97"/>
      <c r="BV100" s="97"/>
      <c r="BW100" s="97"/>
      <c r="BX100" s="97"/>
      <c r="BY100" s="97"/>
      <c r="BZ100" s="97"/>
      <c r="CA100" s="97"/>
      <c r="CB100" s="71"/>
      <c r="CC100" s="71"/>
      <c r="CD100" s="71"/>
      <c r="CE100" s="71"/>
      <c r="CF100" s="71"/>
      <c r="CG100" s="71"/>
      <c r="CH100" s="71"/>
      <c r="CI100" s="71"/>
      <c r="CJ100" s="71"/>
      <c r="CK100" s="71"/>
      <c r="CL100" s="71"/>
      <c r="CM100" s="48">
        <v>156</v>
      </c>
      <c r="CN100" s="48">
        <v>128</v>
      </c>
      <c r="CP100" s="505">
        <v>29</v>
      </c>
      <c r="CQ100" s="505">
        <v>30</v>
      </c>
      <c r="CR100" s="95">
        <v>42688</v>
      </c>
      <c r="CS100" s="95">
        <v>42728</v>
      </c>
      <c r="CT100" s="83">
        <v>39</v>
      </c>
      <c r="CU100" s="84"/>
      <c r="CV100" s="101"/>
      <c r="CW100" s="95"/>
      <c r="CX100" s="101"/>
      <c r="CY100" s="101"/>
      <c r="CZ100" s="101"/>
      <c r="DA100" s="95"/>
      <c r="DB100" s="101"/>
      <c r="DC100" s="95"/>
      <c r="DD100" s="101"/>
      <c r="DE100" s="95"/>
      <c r="DF100" s="101"/>
      <c r="DG100" s="95"/>
      <c r="DH100" s="95"/>
      <c r="DI100" s="71"/>
      <c r="DJ100" s="97">
        <v>0</v>
      </c>
      <c r="DK100" s="97"/>
      <c r="DL100" s="97"/>
      <c r="DM100" s="97"/>
      <c r="DN100" s="97"/>
      <c r="DO100" s="97"/>
      <c r="DP100" s="97"/>
      <c r="DQ100" s="71"/>
      <c r="DR100" s="71"/>
      <c r="DS100" s="71"/>
      <c r="DT100" s="71"/>
      <c r="DU100" s="71"/>
      <c r="DV100" s="71"/>
      <c r="DW100" s="71"/>
      <c r="DX100" s="71"/>
      <c r="DY100" s="71"/>
      <c r="DZ100" s="71"/>
      <c r="EA100" s="71"/>
      <c r="EB100" s="71"/>
      <c r="EC100" s="71"/>
      <c r="ED100" s="71"/>
      <c r="EE100" s="71"/>
      <c r="EF100" s="71"/>
      <c r="EG100" s="71"/>
      <c r="EH100" s="71"/>
      <c r="EI100" s="71"/>
    </row>
    <row r="101" spans="1:139" s="47" customFormat="1" ht="39.75" customHeight="1">
      <c r="A101" s="50">
        <v>184</v>
      </c>
      <c r="B101" s="260">
        <v>42650</v>
      </c>
      <c r="C101" s="55">
        <v>42650.543055555558</v>
      </c>
      <c r="D101" s="261">
        <v>36701127</v>
      </c>
      <c r="E101" s="262" t="s">
        <v>496</v>
      </c>
      <c r="F101" s="47" t="b">
        <v>1</v>
      </c>
      <c r="H101" s="262" t="s">
        <v>441</v>
      </c>
      <c r="I101" s="260">
        <v>19835</v>
      </c>
      <c r="J101" s="270">
        <v>62.506849315068493</v>
      </c>
      <c r="K101" s="181">
        <v>750</v>
      </c>
      <c r="L101" s="262" t="s">
        <v>442</v>
      </c>
      <c r="M101" s="263" t="s">
        <v>497</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7">
        <v>1</v>
      </c>
      <c r="AK101" s="323">
        <f t="shared" si="2"/>
        <v>0</v>
      </c>
      <c r="AL101" s="263" t="s">
        <v>1739</v>
      </c>
      <c r="AM101" s="264">
        <v>42647</v>
      </c>
      <c r="AN101" s="265" t="s">
        <v>1736</v>
      </c>
      <c r="AO101" s="54">
        <v>42689</v>
      </c>
      <c r="AP101" s="262" t="s">
        <v>1737</v>
      </c>
      <c r="AQ101" s="264"/>
      <c r="AR101" s="265">
        <v>1</v>
      </c>
      <c r="AS101" s="265" t="s">
        <v>1738</v>
      </c>
      <c r="AT101" s="327">
        <v>0</v>
      </c>
      <c r="AU101" s="265">
        <v>1</v>
      </c>
      <c r="AV101" s="265">
        <v>0</v>
      </c>
      <c r="AW101" s="265">
        <v>1</v>
      </c>
      <c r="AX101" s="262" t="s">
        <v>498</v>
      </c>
      <c r="AY101" s="265"/>
      <c r="AZ101" s="193" t="s">
        <v>1740</v>
      </c>
      <c r="BA101" s="47">
        <v>0</v>
      </c>
      <c r="BB101" s="69">
        <v>1</v>
      </c>
      <c r="BC101" s="69"/>
      <c r="BD101" s="69">
        <v>0</v>
      </c>
      <c r="BE101" s="69">
        <v>0</v>
      </c>
      <c r="BF101" s="234">
        <v>0</v>
      </c>
      <c r="BG101" s="766">
        <v>0</v>
      </c>
      <c r="BH101" s="766"/>
      <c r="BI101" s="223">
        <v>0</v>
      </c>
      <c r="BJ101" s="70"/>
      <c r="BK101" s="70">
        <v>0</v>
      </c>
      <c r="BL101" s="70"/>
      <c r="BM101" s="70">
        <v>0</v>
      </c>
      <c r="BN101" s="70"/>
      <c r="BO101" s="70">
        <v>0</v>
      </c>
      <c r="BP101" s="70">
        <v>0</v>
      </c>
      <c r="BQ101" s="70">
        <v>0</v>
      </c>
      <c r="BR101" s="70">
        <v>0</v>
      </c>
      <c r="BS101" s="266">
        <v>0</v>
      </c>
      <c r="BT101" s="252">
        <v>1</v>
      </c>
      <c r="BU101" s="253" t="s">
        <v>1741</v>
      </c>
      <c r="BV101" s="253">
        <v>0</v>
      </c>
      <c r="BW101" s="253">
        <v>0</v>
      </c>
      <c r="BX101" s="262">
        <v>0</v>
      </c>
      <c r="BY101" s="262"/>
      <c r="BZ101" s="262"/>
      <c r="CA101" s="262"/>
      <c r="CB101" s="70">
        <v>0</v>
      </c>
      <c r="CC101" s="70">
        <v>0</v>
      </c>
      <c r="CD101" s="70">
        <v>0</v>
      </c>
      <c r="CE101" s="70"/>
      <c r="CF101" s="70"/>
      <c r="CG101" s="70"/>
      <c r="CH101" s="70">
        <v>0</v>
      </c>
      <c r="CI101" s="70"/>
      <c r="CJ101" s="70">
        <v>0</v>
      </c>
      <c r="CK101" s="70">
        <v>0</v>
      </c>
      <c r="CL101" s="70">
        <v>0</v>
      </c>
      <c r="CM101" s="47">
        <v>132</v>
      </c>
      <c r="CN101" s="47">
        <v>113</v>
      </c>
      <c r="CP101" s="504">
        <v>29.7</v>
      </c>
      <c r="CQ101" s="504">
        <v>31.5</v>
      </c>
      <c r="CR101" s="260">
        <v>42632</v>
      </c>
      <c r="CS101" s="260">
        <v>42664</v>
      </c>
      <c r="CT101" s="78">
        <v>14</v>
      </c>
      <c r="CU101" s="79">
        <v>44209</v>
      </c>
      <c r="CV101" s="267">
        <v>0</v>
      </c>
      <c r="CW101" s="260"/>
      <c r="CX101" s="267">
        <v>0</v>
      </c>
      <c r="CY101" s="267">
        <v>0</v>
      </c>
      <c r="CZ101" s="267">
        <v>0</v>
      </c>
      <c r="DA101" s="260"/>
      <c r="DB101" s="267">
        <v>0</v>
      </c>
      <c r="DC101" s="260"/>
      <c r="DD101" s="267">
        <v>0</v>
      </c>
      <c r="DE101" s="260"/>
      <c r="DF101" s="267">
        <v>0</v>
      </c>
      <c r="DG101" s="260"/>
      <c r="DH101" s="260"/>
      <c r="DI101" s="70"/>
      <c r="DJ101" s="262">
        <v>0</v>
      </c>
      <c r="DK101" s="262"/>
      <c r="DL101" s="262"/>
      <c r="DM101" s="262"/>
      <c r="DN101" s="262"/>
      <c r="DO101" s="262"/>
      <c r="DP101" s="262"/>
      <c r="DQ101" s="70"/>
      <c r="DR101" s="70"/>
      <c r="DS101" s="70"/>
      <c r="DT101" s="70"/>
      <c r="DU101" s="70"/>
      <c r="DV101" s="70"/>
      <c r="DW101" s="70"/>
      <c r="DX101" s="70"/>
      <c r="DY101" s="70"/>
      <c r="DZ101" s="70"/>
      <c r="EA101" s="70"/>
      <c r="EB101" s="70"/>
      <c r="EC101" s="70"/>
      <c r="ED101" s="70"/>
      <c r="EE101" s="70"/>
      <c r="EF101" s="70"/>
      <c r="EG101" s="70"/>
      <c r="EH101" s="70"/>
      <c r="EI101" s="70"/>
    </row>
    <row r="102" spans="1:139" s="47" customFormat="1" ht="39.75" customHeight="1">
      <c r="A102" s="50">
        <v>185</v>
      </c>
      <c r="B102" s="260">
        <v>42640</v>
      </c>
      <c r="C102" s="55">
        <v>42640.480555555558</v>
      </c>
      <c r="D102" s="261">
        <v>36778138</v>
      </c>
      <c r="E102" s="262" t="s">
        <v>499</v>
      </c>
      <c r="F102" s="47" t="b">
        <v>1</v>
      </c>
      <c r="H102" s="262" t="s">
        <v>418</v>
      </c>
      <c r="I102" s="260">
        <v>29572</v>
      </c>
      <c r="J102" s="270">
        <v>35.802739726027397</v>
      </c>
      <c r="K102" s="181">
        <v>429.585798816568</v>
      </c>
      <c r="L102" s="262" t="s">
        <v>500</v>
      </c>
      <c r="M102" s="263" t="s">
        <v>501</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v>0</v>
      </c>
      <c r="AK102" s="323">
        <f t="shared" si="2"/>
        <v>0</v>
      </c>
      <c r="AL102" s="186"/>
      <c r="AM102" s="58">
        <v>42640</v>
      </c>
      <c r="AN102" s="52" t="s">
        <v>1742</v>
      </c>
      <c r="AO102" s="54">
        <v>42675</v>
      </c>
      <c r="AP102" s="50" t="s">
        <v>145</v>
      </c>
      <c r="AQ102" s="58">
        <v>42639</v>
      </c>
      <c r="AR102" s="52">
        <v>0</v>
      </c>
      <c r="AS102" s="52"/>
      <c r="AT102" s="323">
        <v>0</v>
      </c>
      <c r="AU102" s="52">
        <v>1</v>
      </c>
      <c r="AV102" s="52">
        <v>0</v>
      </c>
      <c r="AW102" s="52">
        <v>1</v>
      </c>
      <c r="AX102" s="265" t="s">
        <v>502</v>
      </c>
      <c r="AY102" s="265"/>
      <c r="AZ102" s="193" t="s">
        <v>1740</v>
      </c>
      <c r="BA102" s="47">
        <v>0</v>
      </c>
      <c r="BB102" s="69">
        <v>1</v>
      </c>
      <c r="BC102" s="69"/>
      <c r="BD102" s="69">
        <v>0</v>
      </c>
      <c r="BE102" s="69">
        <v>0</v>
      </c>
      <c r="BF102" s="234">
        <v>0</v>
      </c>
      <c r="BG102" s="766">
        <v>0</v>
      </c>
      <c r="BH102" s="766"/>
      <c r="BI102" s="223">
        <v>1</v>
      </c>
      <c r="BJ102" s="70"/>
      <c r="BK102" s="70">
        <v>1</v>
      </c>
      <c r="BL102" s="70" t="s">
        <v>1743</v>
      </c>
      <c r="BM102" s="80">
        <v>1</v>
      </c>
      <c r="BN102" s="80" t="s">
        <v>1744</v>
      </c>
      <c r="BO102" s="80">
        <v>0</v>
      </c>
      <c r="BP102" s="80">
        <v>1</v>
      </c>
      <c r="BQ102" s="80">
        <v>0</v>
      </c>
      <c r="BR102" s="80">
        <v>1</v>
      </c>
      <c r="BS102" s="242">
        <v>0</v>
      </c>
      <c r="BT102" s="272">
        <v>0</v>
      </c>
      <c r="BU102" s="262"/>
      <c r="BV102" s="262">
        <v>0</v>
      </c>
      <c r="BW102" s="262">
        <v>0</v>
      </c>
      <c r="BX102" s="262">
        <v>0</v>
      </c>
      <c r="BY102" s="262"/>
      <c r="BZ102" s="262"/>
      <c r="CA102" s="70"/>
      <c r="CB102" s="77">
        <v>0</v>
      </c>
      <c r="CC102" s="77">
        <v>0</v>
      </c>
      <c r="CD102" s="77">
        <v>0</v>
      </c>
      <c r="CE102" s="77"/>
      <c r="CF102" s="77"/>
      <c r="CG102" s="70"/>
      <c r="CH102" s="70">
        <v>0</v>
      </c>
      <c r="CI102" s="70"/>
      <c r="CJ102" s="70">
        <v>0</v>
      </c>
      <c r="CK102" s="70">
        <v>0</v>
      </c>
      <c r="CL102" s="70">
        <v>0</v>
      </c>
      <c r="CM102" s="47">
        <v>154</v>
      </c>
      <c r="CN102" s="47">
        <v>122</v>
      </c>
      <c r="CP102" s="504">
        <v>29.9</v>
      </c>
      <c r="CQ102" s="504">
        <v>31</v>
      </c>
      <c r="CR102" s="260">
        <v>42639</v>
      </c>
      <c r="CS102" s="260">
        <v>42677</v>
      </c>
      <c r="CT102" s="78">
        <v>37</v>
      </c>
      <c r="CU102" s="79">
        <v>44070</v>
      </c>
      <c r="CV102" s="267">
        <v>0</v>
      </c>
      <c r="CW102" s="260"/>
      <c r="CX102" s="267">
        <v>0</v>
      </c>
      <c r="CY102" s="267">
        <v>0</v>
      </c>
      <c r="CZ102" s="267">
        <v>0</v>
      </c>
      <c r="DA102" s="260"/>
      <c r="DB102" s="267">
        <v>0</v>
      </c>
      <c r="DC102" s="260"/>
      <c r="DD102" s="267">
        <v>0</v>
      </c>
      <c r="DE102" s="260"/>
      <c r="DF102" s="267">
        <v>0</v>
      </c>
      <c r="DG102" s="260"/>
      <c r="DH102" s="260"/>
      <c r="DI102" s="70"/>
      <c r="DJ102" s="262">
        <v>0</v>
      </c>
      <c r="DK102" s="262"/>
      <c r="DL102" s="262"/>
      <c r="DM102" s="262"/>
      <c r="DN102" s="262"/>
      <c r="DO102" s="262"/>
      <c r="DP102" s="262"/>
      <c r="DQ102" s="70"/>
      <c r="DR102" s="70"/>
      <c r="DS102" s="70"/>
      <c r="DT102" s="70"/>
      <c r="DU102" s="70"/>
      <c r="DV102" s="70"/>
      <c r="DW102" s="70"/>
      <c r="DX102" s="70"/>
      <c r="DY102" s="70"/>
      <c r="DZ102" s="70"/>
      <c r="EA102" s="70"/>
      <c r="EB102" s="70"/>
      <c r="EC102" s="70"/>
      <c r="ED102" s="70"/>
      <c r="EE102" s="70"/>
      <c r="EF102" s="70"/>
      <c r="EG102" s="70"/>
      <c r="EH102" s="70"/>
      <c r="EI102" s="70"/>
    </row>
    <row r="103" spans="1:139" s="47" customFormat="1" ht="39.75" customHeight="1">
      <c r="A103" s="50">
        <v>186</v>
      </c>
      <c r="B103" s="260">
        <v>42640</v>
      </c>
      <c r="C103" s="55">
        <v>42640.307638888888</v>
      </c>
      <c r="D103" s="261">
        <v>24772610</v>
      </c>
      <c r="E103" s="262" t="s">
        <v>503</v>
      </c>
      <c r="F103" s="47" t="b">
        <v>1</v>
      </c>
      <c r="H103" s="262" t="s">
        <v>418</v>
      </c>
      <c r="I103" s="260">
        <v>27214</v>
      </c>
      <c r="J103" s="255">
        <v>42.263013698630139</v>
      </c>
      <c r="K103" s="181">
        <v>507.10059171597629</v>
      </c>
      <c r="L103" s="262" t="s">
        <v>442</v>
      </c>
      <c r="M103" s="263" t="s">
        <v>504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7">
        <v>0</v>
      </c>
      <c r="AK103" s="323">
        <f t="shared" si="2"/>
        <v>1</v>
      </c>
      <c r="AL103" s="263" t="s">
        <v>1795</v>
      </c>
      <c r="AM103" s="264">
        <v>42634</v>
      </c>
      <c r="AN103" s="265" t="s">
        <v>2138</v>
      </c>
      <c r="AO103" s="54">
        <v>42682</v>
      </c>
      <c r="AP103" s="262" t="s">
        <v>1745</v>
      </c>
      <c r="AQ103" s="264">
        <v>42620</v>
      </c>
      <c r="AR103" s="265">
        <v>1</v>
      </c>
      <c r="AS103" s="265" t="s">
        <v>1746</v>
      </c>
      <c r="AT103" s="327">
        <v>1</v>
      </c>
      <c r="AU103" s="265">
        <v>0</v>
      </c>
      <c r="AV103" s="265">
        <v>0</v>
      </c>
      <c r="AW103" s="265">
        <v>1</v>
      </c>
      <c r="AX103" s="265" t="s">
        <v>505</v>
      </c>
      <c r="AY103" s="265"/>
      <c r="AZ103" s="193" t="s">
        <v>1747</v>
      </c>
      <c r="BA103" s="47">
        <v>0</v>
      </c>
      <c r="BB103" s="69">
        <v>1</v>
      </c>
      <c r="BC103" s="69"/>
      <c r="BD103" s="69">
        <v>0</v>
      </c>
      <c r="BE103" s="69">
        <v>1</v>
      </c>
      <c r="BF103" s="234">
        <v>0</v>
      </c>
      <c r="BG103" s="766">
        <v>0</v>
      </c>
      <c r="BH103" s="766"/>
      <c r="BI103" s="223">
        <v>0</v>
      </c>
      <c r="BJ103" s="70"/>
      <c r="BK103" s="70">
        <v>0</v>
      </c>
      <c r="BL103" s="70"/>
      <c r="BM103" s="70">
        <v>0</v>
      </c>
      <c r="BN103" s="70"/>
      <c r="BO103" s="70">
        <v>0</v>
      </c>
      <c r="BP103" s="70">
        <v>0</v>
      </c>
      <c r="BQ103" s="70">
        <v>0</v>
      </c>
      <c r="BR103" s="70">
        <v>0</v>
      </c>
      <c r="BS103" s="266">
        <v>0</v>
      </c>
      <c r="BT103" s="272">
        <v>1</v>
      </c>
      <c r="BU103" s="262" t="s">
        <v>1748</v>
      </c>
      <c r="BV103" s="262">
        <v>0</v>
      </c>
      <c r="BW103" s="262">
        <v>0</v>
      </c>
      <c r="BX103" s="262">
        <v>0</v>
      </c>
      <c r="BY103" s="262"/>
      <c r="BZ103" s="262"/>
      <c r="CA103" s="262"/>
      <c r="CB103" s="70">
        <v>0</v>
      </c>
      <c r="CC103" s="70">
        <v>0</v>
      </c>
      <c r="CD103" s="70">
        <v>0</v>
      </c>
      <c r="CE103" s="70"/>
      <c r="CF103" s="70"/>
      <c r="CG103" s="70"/>
      <c r="CH103" s="70">
        <v>0</v>
      </c>
      <c r="CI103" s="70"/>
      <c r="CJ103" s="70">
        <v>0</v>
      </c>
      <c r="CK103" s="70">
        <v>0</v>
      </c>
      <c r="CL103" s="70">
        <v>0</v>
      </c>
      <c r="CM103" s="47">
        <v>186</v>
      </c>
      <c r="CN103" s="47">
        <v>152</v>
      </c>
      <c r="CP103" s="504">
        <v>31</v>
      </c>
      <c r="CQ103" s="504">
        <v>31.8</v>
      </c>
      <c r="CR103" s="260">
        <v>42633</v>
      </c>
      <c r="CS103" s="260">
        <v>42664</v>
      </c>
      <c r="CT103" s="78">
        <v>24</v>
      </c>
      <c r="CU103" s="79">
        <v>44285</v>
      </c>
      <c r="CV103" s="267">
        <v>0</v>
      </c>
      <c r="CW103" s="260"/>
      <c r="CX103" s="267">
        <v>0</v>
      </c>
      <c r="CY103" s="267">
        <v>0</v>
      </c>
      <c r="CZ103" s="267">
        <v>0</v>
      </c>
      <c r="DA103" s="260"/>
      <c r="DB103" s="267">
        <v>0</v>
      </c>
      <c r="DC103" s="260"/>
      <c r="DD103" s="267">
        <v>0</v>
      </c>
      <c r="DE103" s="260"/>
      <c r="DF103" s="267">
        <v>0</v>
      </c>
      <c r="DG103" s="260"/>
      <c r="DH103" s="260"/>
      <c r="DI103" s="70"/>
      <c r="DJ103" s="262">
        <v>0</v>
      </c>
      <c r="DK103" s="262"/>
      <c r="DL103" s="262"/>
      <c r="DM103" s="262"/>
      <c r="DN103" s="262"/>
      <c r="DO103" s="262"/>
      <c r="DP103" s="262"/>
      <c r="DQ103" s="70"/>
      <c r="DR103" s="70"/>
      <c r="DS103" s="70"/>
      <c r="DT103" s="70"/>
      <c r="DU103" s="70"/>
      <c r="DV103" s="70"/>
      <c r="DW103" s="70"/>
      <c r="DX103" s="70"/>
      <c r="DY103" s="70"/>
      <c r="DZ103" s="70"/>
      <c r="EA103" s="70"/>
      <c r="EB103" s="70"/>
      <c r="EC103" s="70"/>
      <c r="ED103" s="70"/>
      <c r="EE103" s="70"/>
      <c r="EF103" s="70"/>
      <c r="EG103" s="70"/>
      <c r="EH103" s="70"/>
      <c r="EI103" s="70"/>
    </row>
    <row r="104" spans="1:139" s="196" customFormat="1" ht="39.75" customHeight="1">
      <c r="A104" s="90">
        <v>189</v>
      </c>
      <c r="B104" s="273">
        <v>42614</v>
      </c>
      <c r="C104" s="194">
        <v>42614.963194444441</v>
      </c>
      <c r="D104" s="274">
        <v>33822629</v>
      </c>
      <c r="E104" s="275" t="s">
        <v>506</v>
      </c>
      <c r="F104" s="196" t="s">
        <v>1590</v>
      </c>
      <c r="G104" s="196" t="s">
        <v>1730</v>
      </c>
      <c r="H104" s="275" t="s">
        <v>418</v>
      </c>
      <c r="I104" s="273">
        <v>26871</v>
      </c>
      <c r="J104" s="276">
        <v>43.131506849315066</v>
      </c>
      <c r="K104" s="197">
        <v>517.52136752136744</v>
      </c>
      <c r="L104" s="275" t="s">
        <v>500</v>
      </c>
      <c r="M104" s="277" t="s">
        <v>507</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c r="AK104" s="326">
        <f t="shared" si="2"/>
        <v>0</v>
      </c>
      <c r="AL104" s="198" t="s">
        <v>508</v>
      </c>
      <c r="AM104" s="199"/>
      <c r="AN104" s="200"/>
      <c r="AO104" s="88">
        <v>42670</v>
      </c>
      <c r="AP104" s="90" t="s">
        <v>187</v>
      </c>
      <c r="AQ104" s="199"/>
      <c r="AR104" s="200">
        <v>1</v>
      </c>
      <c r="AS104" s="200" t="s">
        <v>509</v>
      </c>
      <c r="AT104" s="326">
        <v>1</v>
      </c>
      <c r="AU104" s="200">
        <v>0</v>
      </c>
      <c r="AV104" s="200">
        <v>0</v>
      </c>
      <c r="AW104" s="200">
        <v>1</v>
      </c>
      <c r="AX104" s="279" t="s">
        <v>512</v>
      </c>
      <c r="AY104" s="279">
        <v>0</v>
      </c>
      <c r="AZ104" s="202">
        <v>1</v>
      </c>
      <c r="BB104" s="203">
        <v>1</v>
      </c>
      <c r="BC104" s="203" t="e">
        <v>#REF!</v>
      </c>
      <c r="BD104" s="203">
        <v>0</v>
      </c>
      <c r="BE104" s="203">
        <v>0</v>
      </c>
      <c r="BF104" s="236">
        <v>0</v>
      </c>
      <c r="BG104" s="768"/>
      <c r="BH104" s="768"/>
      <c r="BI104" s="226">
        <v>1</v>
      </c>
      <c r="BJ104" s="201"/>
      <c r="BK104" s="201" t="s">
        <v>510</v>
      </c>
      <c r="BL104" s="201"/>
      <c r="BM104" s="280" t="s">
        <v>511</v>
      </c>
      <c r="BN104" s="280"/>
      <c r="BO104" s="280"/>
      <c r="BP104" s="280"/>
      <c r="BQ104" s="280"/>
      <c r="BR104" s="280"/>
      <c r="BS104" s="281" t="s">
        <v>261</v>
      </c>
      <c r="BT104" s="282"/>
      <c r="BU104" s="275"/>
      <c r="BV104" s="275"/>
      <c r="BW104" s="275"/>
      <c r="BX104" s="275">
        <v>0</v>
      </c>
      <c r="BY104" s="275"/>
      <c r="BZ104" s="275"/>
      <c r="CA104" s="201"/>
      <c r="CB104" s="204">
        <v>0</v>
      </c>
      <c r="CC104" s="204"/>
      <c r="CD104" s="204"/>
      <c r="CE104" s="204"/>
      <c r="CF104" s="204">
        <v>0</v>
      </c>
      <c r="CG104" s="201"/>
      <c r="CH104" s="201"/>
      <c r="CI104" s="201"/>
      <c r="CJ104" s="201"/>
      <c r="CK104" s="201"/>
      <c r="CL104" s="201"/>
      <c r="CM104" s="196">
        <v>126</v>
      </c>
      <c r="CN104" s="196">
        <v>96</v>
      </c>
      <c r="CP104" s="506">
        <v>28.2</v>
      </c>
      <c r="CQ104" s="506">
        <v>30.5</v>
      </c>
      <c r="CR104" s="273">
        <v>42575</v>
      </c>
      <c r="CS104" s="273">
        <v>42622</v>
      </c>
      <c r="CT104" s="205">
        <v>8</v>
      </c>
      <c r="CU104" s="206"/>
      <c r="CV104" s="283">
        <v>0</v>
      </c>
      <c r="CW104" s="273"/>
      <c r="CX104" s="283"/>
      <c r="CY104" s="283"/>
      <c r="CZ104" s="283"/>
      <c r="DA104" s="273"/>
      <c r="DB104" s="283">
        <v>0</v>
      </c>
      <c r="DC104" s="273"/>
      <c r="DD104" s="283">
        <v>0</v>
      </c>
      <c r="DE104" s="273"/>
      <c r="DF104" s="283">
        <v>0</v>
      </c>
      <c r="DG104" s="273"/>
      <c r="DH104" s="273" t="s">
        <v>513</v>
      </c>
      <c r="DI104" s="201"/>
      <c r="DJ104" s="275">
        <v>0</v>
      </c>
      <c r="DK104" s="275"/>
      <c r="DL104" s="275"/>
      <c r="DM104" s="275"/>
      <c r="DN104" s="275"/>
      <c r="DO104" s="275"/>
      <c r="DP104" s="275"/>
      <c r="DQ104" s="201"/>
      <c r="DR104" s="201"/>
      <c r="DS104" s="201"/>
      <c r="DT104" s="201"/>
      <c r="DU104" s="201"/>
      <c r="DV104" s="201"/>
      <c r="DW104" s="201"/>
      <c r="DX104" s="201"/>
      <c r="DY104" s="201"/>
      <c r="DZ104" s="201"/>
      <c r="EA104" s="201"/>
      <c r="EB104" s="201"/>
      <c r="EC104" s="201"/>
      <c r="ED104" s="201"/>
      <c r="EE104" s="201"/>
      <c r="EF104" s="201"/>
      <c r="EG104" s="201"/>
      <c r="EH104" s="201"/>
      <c r="EI104" s="201"/>
    </row>
    <row r="105" spans="1:139" s="47" customFormat="1" ht="39.75" customHeight="1">
      <c r="A105" s="50">
        <v>190</v>
      </c>
      <c r="B105" s="260">
        <v>42614</v>
      </c>
      <c r="C105" s="55">
        <v>42614.554166666669</v>
      </c>
      <c r="D105" s="261">
        <v>36654326</v>
      </c>
      <c r="E105" s="262" t="s">
        <v>514</v>
      </c>
      <c r="F105" s="47" t="b">
        <v>1</v>
      </c>
      <c r="H105" s="262" t="s">
        <v>441</v>
      </c>
      <c r="I105" s="260">
        <v>10915</v>
      </c>
      <c r="J105" s="270">
        <v>86.846575342465755</v>
      </c>
      <c r="K105" s="181">
        <v>1042.0447074293227</v>
      </c>
      <c r="L105" s="262" t="s">
        <v>500</v>
      </c>
      <c r="M105" s="263" t="s">
        <v>515</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7">
        <v>0</v>
      </c>
      <c r="AK105" s="323">
        <f t="shared" si="2"/>
        <v>0</v>
      </c>
      <c r="AL105" s="263"/>
      <c r="AM105" s="264">
        <v>42612</v>
      </c>
      <c r="AN105" s="265" t="s">
        <v>1749</v>
      </c>
      <c r="AO105" s="54">
        <v>42655</v>
      </c>
      <c r="AP105" s="262" t="s">
        <v>1750</v>
      </c>
      <c r="AQ105" s="264">
        <v>42606</v>
      </c>
      <c r="AR105" s="265">
        <v>1</v>
      </c>
      <c r="AS105" s="265" t="s">
        <v>1751</v>
      </c>
      <c r="AT105" s="327">
        <v>0</v>
      </c>
      <c r="AU105" s="265">
        <v>1</v>
      </c>
      <c r="AV105" s="265">
        <v>0</v>
      </c>
      <c r="AW105" s="265">
        <v>0</v>
      </c>
      <c r="AX105" s="265" t="s">
        <v>516</v>
      </c>
      <c r="AY105" s="265"/>
      <c r="AZ105" s="193" t="s">
        <v>1752</v>
      </c>
      <c r="BA105" s="47">
        <v>0</v>
      </c>
      <c r="BB105" s="69">
        <v>1</v>
      </c>
      <c r="BC105" s="69"/>
      <c r="BD105" s="69">
        <v>0</v>
      </c>
      <c r="BE105" s="69">
        <v>1</v>
      </c>
      <c r="BF105" s="234">
        <v>0</v>
      </c>
      <c r="BG105" s="766">
        <v>1</v>
      </c>
      <c r="BH105" s="766" t="s">
        <v>2004</v>
      </c>
      <c r="BI105" s="223">
        <v>0</v>
      </c>
      <c r="BJ105" s="70"/>
      <c r="BK105" s="70">
        <v>0</v>
      </c>
      <c r="BL105" s="70"/>
      <c r="BM105" s="70">
        <v>0</v>
      </c>
      <c r="BN105" s="70"/>
      <c r="BO105" s="70">
        <v>0</v>
      </c>
      <c r="BP105" s="70">
        <v>0</v>
      </c>
      <c r="BQ105" s="70">
        <v>0</v>
      </c>
      <c r="BR105" s="70">
        <v>0</v>
      </c>
      <c r="BS105" s="266">
        <v>0</v>
      </c>
      <c r="BT105" s="252">
        <v>1</v>
      </c>
      <c r="BU105" s="253" t="s">
        <v>1753</v>
      </c>
      <c r="BV105" s="253">
        <v>0</v>
      </c>
      <c r="BW105" s="253">
        <v>0</v>
      </c>
      <c r="BX105" s="262">
        <v>0</v>
      </c>
      <c r="BY105" s="262"/>
      <c r="BZ105" s="262"/>
      <c r="CA105" s="262"/>
      <c r="CB105" s="70">
        <v>0</v>
      </c>
      <c r="CC105" s="70">
        <v>0</v>
      </c>
      <c r="CD105" s="70">
        <v>0</v>
      </c>
      <c r="CE105" s="70"/>
      <c r="CF105" s="70"/>
      <c r="CG105" s="70"/>
      <c r="CH105" s="70">
        <v>0</v>
      </c>
      <c r="CI105" s="70"/>
      <c r="CJ105" s="70">
        <v>1</v>
      </c>
      <c r="CK105" s="70">
        <v>0</v>
      </c>
      <c r="CL105" s="70">
        <v>0</v>
      </c>
      <c r="CM105" s="47">
        <v>212</v>
      </c>
      <c r="CN105" s="47">
        <v>161</v>
      </c>
      <c r="CP105" s="504">
        <v>26.7</v>
      </c>
      <c r="CQ105" s="504">
        <v>27.2</v>
      </c>
      <c r="CR105" s="260">
        <v>42612</v>
      </c>
      <c r="CS105" s="260">
        <v>42640</v>
      </c>
      <c r="CT105" s="78">
        <v>26</v>
      </c>
      <c r="CU105" s="79">
        <v>42656</v>
      </c>
      <c r="CV105" s="267">
        <v>0</v>
      </c>
      <c r="CW105" s="260"/>
      <c r="CX105" s="267">
        <v>0</v>
      </c>
      <c r="CY105" s="267">
        <v>0</v>
      </c>
      <c r="CZ105" s="267">
        <v>0</v>
      </c>
      <c r="DA105" s="260"/>
      <c r="DB105" s="267">
        <v>0</v>
      </c>
      <c r="DC105" s="260"/>
      <c r="DD105" s="267">
        <v>0</v>
      </c>
      <c r="DE105" s="260"/>
      <c r="DF105" s="267">
        <v>0</v>
      </c>
      <c r="DG105" s="260"/>
      <c r="DH105" s="260"/>
      <c r="DI105" s="70"/>
      <c r="DJ105" s="262">
        <v>0</v>
      </c>
      <c r="DK105" s="262"/>
      <c r="DL105" s="262"/>
      <c r="DM105" s="262"/>
      <c r="DN105" s="262"/>
      <c r="DO105" s="262"/>
      <c r="DP105" s="262"/>
      <c r="DQ105" s="70"/>
      <c r="DR105" s="70"/>
      <c r="DS105" s="70"/>
      <c r="DT105" s="70"/>
      <c r="DU105" s="70"/>
      <c r="DV105" s="70"/>
      <c r="DW105" s="70"/>
      <c r="DX105" s="70"/>
      <c r="DY105" s="70"/>
      <c r="DZ105" s="70"/>
      <c r="EA105" s="70"/>
      <c r="EB105" s="70"/>
      <c r="EC105" s="70"/>
      <c r="ED105" s="70"/>
      <c r="EE105" s="70"/>
      <c r="EF105" s="70"/>
      <c r="EG105" s="70"/>
      <c r="EH105" s="70"/>
      <c r="EI105" s="70"/>
    </row>
    <row r="106" spans="1:139" s="47" customFormat="1" ht="39.75" customHeight="1">
      <c r="A106" s="50">
        <v>192</v>
      </c>
      <c r="B106" s="260">
        <v>42607</v>
      </c>
      <c r="C106" s="55">
        <v>42607.643750000003</v>
      </c>
      <c r="D106" s="261">
        <v>36489452</v>
      </c>
      <c r="E106" s="262" t="s">
        <v>517</v>
      </c>
      <c r="F106" s="47" t="b">
        <v>1</v>
      </c>
      <c r="H106" s="262" t="s">
        <v>441</v>
      </c>
      <c r="I106" s="260">
        <v>34230</v>
      </c>
      <c r="J106" s="255">
        <v>22.950684931506849</v>
      </c>
      <c r="K106" s="181">
        <v>275.37804076265616</v>
      </c>
      <c r="L106" s="262" t="s">
        <v>442</v>
      </c>
      <c r="M106" s="263" t="s">
        <v>518</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7">
        <v>0</v>
      </c>
      <c r="AK106" s="323">
        <f t="shared" si="2"/>
        <v>0</v>
      </c>
      <c r="AL106" s="263"/>
      <c r="AM106" s="264">
        <v>42607</v>
      </c>
      <c r="AN106" s="52" t="s">
        <v>1712</v>
      </c>
      <c r="AO106" s="54">
        <v>42635</v>
      </c>
      <c r="AP106" s="262" t="s">
        <v>1754</v>
      </c>
      <c r="AQ106" s="264">
        <v>42607</v>
      </c>
      <c r="AR106" s="265">
        <v>0</v>
      </c>
      <c r="AS106" s="265"/>
      <c r="AT106" s="327">
        <v>0</v>
      </c>
      <c r="AU106" s="265">
        <v>0</v>
      </c>
      <c r="AV106" s="265">
        <v>0</v>
      </c>
      <c r="AW106" s="265">
        <v>1</v>
      </c>
      <c r="AX106" s="262" t="s">
        <v>519</v>
      </c>
      <c r="AY106" s="265"/>
      <c r="AZ106" s="193" t="s">
        <v>1755</v>
      </c>
      <c r="BA106" s="47">
        <v>0</v>
      </c>
      <c r="BB106" s="69">
        <v>1</v>
      </c>
      <c r="BC106" s="69"/>
      <c r="BD106" s="69">
        <v>1</v>
      </c>
      <c r="BE106" s="69">
        <v>0</v>
      </c>
      <c r="BF106" s="234">
        <v>0</v>
      </c>
      <c r="BG106" s="766">
        <v>0</v>
      </c>
      <c r="BH106" s="766"/>
      <c r="BI106" s="223">
        <v>0</v>
      </c>
      <c r="BJ106" s="70"/>
      <c r="BK106" s="70">
        <v>0</v>
      </c>
      <c r="BL106" s="70"/>
      <c r="BM106" s="70">
        <v>0</v>
      </c>
      <c r="BN106" s="70"/>
      <c r="BO106" s="70">
        <v>0</v>
      </c>
      <c r="BP106" s="70">
        <v>0</v>
      </c>
      <c r="BQ106" s="70">
        <v>0</v>
      </c>
      <c r="BR106" s="70">
        <v>0</v>
      </c>
      <c r="BS106" s="266">
        <v>0</v>
      </c>
      <c r="BT106" s="272">
        <v>1</v>
      </c>
      <c r="BU106" s="262" t="s">
        <v>1756</v>
      </c>
      <c r="BV106" s="262">
        <v>0</v>
      </c>
      <c r="BW106" s="262">
        <v>0</v>
      </c>
      <c r="BX106" s="262">
        <v>0</v>
      </c>
      <c r="BY106" s="262"/>
      <c r="BZ106" s="262"/>
      <c r="CA106" s="262"/>
      <c r="CB106" s="70">
        <v>0</v>
      </c>
      <c r="CC106" s="70">
        <v>0</v>
      </c>
      <c r="CD106" s="70">
        <v>0</v>
      </c>
      <c r="CE106" s="70"/>
      <c r="CF106" s="70"/>
      <c r="CG106" s="70"/>
      <c r="CH106" s="70">
        <v>0</v>
      </c>
      <c r="CI106" s="70"/>
      <c r="CJ106" s="70">
        <v>0</v>
      </c>
      <c r="CK106" s="70">
        <v>0</v>
      </c>
      <c r="CL106" s="70">
        <v>0</v>
      </c>
      <c r="CM106" s="47">
        <v>109</v>
      </c>
      <c r="CN106" s="47">
        <v>96</v>
      </c>
      <c r="CP106" s="504">
        <v>29.4</v>
      </c>
      <c r="CQ106" s="504">
        <v>31.3</v>
      </c>
      <c r="CR106" s="260">
        <v>42601</v>
      </c>
      <c r="CS106" s="260">
        <v>42635</v>
      </c>
      <c r="CT106" s="78">
        <v>28</v>
      </c>
      <c r="CU106" s="79">
        <v>44298</v>
      </c>
      <c r="CV106" s="267">
        <v>0</v>
      </c>
      <c r="CW106" s="260"/>
      <c r="CX106" s="267">
        <v>0</v>
      </c>
      <c r="CY106" s="267">
        <v>0</v>
      </c>
      <c r="CZ106" s="267">
        <v>0</v>
      </c>
      <c r="DA106" s="260"/>
      <c r="DB106" s="267">
        <v>0</v>
      </c>
      <c r="DC106" s="260"/>
      <c r="DD106" s="267">
        <v>0</v>
      </c>
      <c r="DE106" s="260"/>
      <c r="DF106" s="267">
        <v>0</v>
      </c>
      <c r="DG106" s="260"/>
      <c r="DH106" s="260"/>
      <c r="DI106" s="70"/>
      <c r="DJ106" s="262">
        <v>0</v>
      </c>
      <c r="DK106" s="262"/>
      <c r="DL106" s="262"/>
      <c r="DM106" s="262"/>
      <c r="DN106" s="262"/>
      <c r="DO106" s="262"/>
      <c r="DP106" s="262"/>
      <c r="DQ106" s="70"/>
      <c r="DR106" s="70"/>
      <c r="DS106" s="70"/>
      <c r="DT106" s="70"/>
      <c r="DU106" s="70"/>
      <c r="DV106" s="70"/>
      <c r="DW106" s="70"/>
      <c r="DX106" s="70"/>
      <c r="DY106" s="70"/>
      <c r="DZ106" s="70"/>
      <c r="EA106" s="70"/>
      <c r="EB106" s="70"/>
      <c r="EC106" s="70"/>
      <c r="ED106" s="70"/>
      <c r="EE106" s="70"/>
      <c r="EF106" s="70"/>
      <c r="EG106" s="70"/>
      <c r="EH106" s="70"/>
      <c r="EI106" s="70"/>
    </row>
    <row r="107" spans="1:139" s="47" customFormat="1" ht="39.75" customHeight="1">
      <c r="A107" s="50">
        <v>193</v>
      </c>
      <c r="B107" s="260">
        <v>42593</v>
      </c>
      <c r="C107" s="55">
        <v>42593.663194444445</v>
      </c>
      <c r="D107" s="261">
        <v>36560874</v>
      </c>
      <c r="E107" s="262" t="s">
        <v>520</v>
      </c>
      <c r="F107" s="47" t="b">
        <v>1</v>
      </c>
      <c r="H107" s="262" t="s">
        <v>441</v>
      </c>
      <c r="I107" s="260">
        <v>31613</v>
      </c>
      <c r="J107" s="270">
        <v>30.082191780821919</v>
      </c>
      <c r="K107" s="181">
        <v>360.94674556213016</v>
      </c>
      <c r="L107" s="262" t="s">
        <v>419</v>
      </c>
      <c r="M107" s="263" t="s">
        <v>521</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7">
        <v>0</v>
      </c>
      <c r="AK107" s="323">
        <f t="shared" si="2"/>
        <v>0</v>
      </c>
      <c r="AL107" s="263"/>
      <c r="AM107" s="264">
        <v>42591</v>
      </c>
      <c r="AN107" s="265" t="s">
        <v>1757</v>
      </c>
      <c r="AO107" s="54">
        <v>42620</v>
      </c>
      <c r="AP107" s="262" t="s">
        <v>1758</v>
      </c>
      <c r="AQ107" s="264">
        <v>42590</v>
      </c>
      <c r="AR107" s="265">
        <v>0</v>
      </c>
      <c r="AS107" s="265"/>
      <c r="AT107" s="327">
        <v>0</v>
      </c>
      <c r="AU107" s="265">
        <v>1</v>
      </c>
      <c r="AV107" s="265">
        <v>0</v>
      </c>
      <c r="AW107" s="265">
        <v>1</v>
      </c>
      <c r="AX107" s="265" t="s">
        <v>522</v>
      </c>
      <c r="AY107" s="265"/>
      <c r="AZ107" s="193" t="s">
        <v>1752</v>
      </c>
      <c r="BA107" s="47">
        <v>0</v>
      </c>
      <c r="BB107" s="69">
        <v>1</v>
      </c>
      <c r="BC107" s="69">
        <v>25</v>
      </c>
      <c r="BD107" s="69">
        <v>0</v>
      </c>
      <c r="BE107" s="69">
        <v>1</v>
      </c>
      <c r="BF107" s="234">
        <v>1</v>
      </c>
      <c r="BG107" s="766">
        <v>0</v>
      </c>
      <c r="BH107" s="766"/>
      <c r="BI107" s="223">
        <v>0</v>
      </c>
      <c r="BJ107" s="70"/>
      <c r="BK107" s="70">
        <v>0</v>
      </c>
      <c r="BL107" s="70"/>
      <c r="BM107" s="70">
        <v>0</v>
      </c>
      <c r="BN107" s="70"/>
      <c r="BO107" s="70">
        <v>0</v>
      </c>
      <c r="BP107" s="70">
        <v>0</v>
      </c>
      <c r="BQ107" s="70">
        <v>0</v>
      </c>
      <c r="BR107" s="70">
        <v>0</v>
      </c>
      <c r="BS107" s="266">
        <v>0</v>
      </c>
      <c r="BT107" s="252">
        <v>1</v>
      </c>
      <c r="BU107" s="253" t="s">
        <v>1759</v>
      </c>
      <c r="BV107" s="253">
        <v>0</v>
      </c>
      <c r="BW107" s="253">
        <v>0</v>
      </c>
      <c r="BX107" s="262">
        <v>0</v>
      </c>
      <c r="BY107" s="262"/>
      <c r="BZ107" s="262"/>
      <c r="CA107" s="262"/>
      <c r="CB107" s="70">
        <v>0</v>
      </c>
      <c r="CC107" s="70">
        <v>0</v>
      </c>
      <c r="CD107" s="70">
        <v>0</v>
      </c>
      <c r="CE107" s="70"/>
      <c r="CF107" s="70" t="s">
        <v>1755</v>
      </c>
      <c r="CG107" s="70"/>
      <c r="CH107" s="70">
        <v>1</v>
      </c>
      <c r="CI107" s="70" t="s">
        <v>1760</v>
      </c>
      <c r="CJ107" s="70">
        <v>0</v>
      </c>
      <c r="CK107" s="70">
        <v>0</v>
      </c>
      <c r="CL107" s="70">
        <v>0</v>
      </c>
      <c r="CM107" s="47">
        <v>94</v>
      </c>
      <c r="CN107" s="47">
        <v>70</v>
      </c>
      <c r="CP107" s="504">
        <v>27.5</v>
      </c>
      <c r="CQ107" s="504"/>
      <c r="CR107" s="260">
        <v>42593</v>
      </c>
      <c r="CS107" s="260">
        <v>42614</v>
      </c>
      <c r="CT107" s="78">
        <v>21</v>
      </c>
      <c r="CU107" s="79">
        <v>44041</v>
      </c>
      <c r="CV107" s="267">
        <v>0</v>
      </c>
      <c r="CW107" s="260"/>
      <c r="CX107" s="267">
        <v>0</v>
      </c>
      <c r="CY107" s="267">
        <v>0</v>
      </c>
      <c r="CZ107" s="267">
        <v>0</v>
      </c>
      <c r="DA107" s="260"/>
      <c r="DB107" s="267">
        <v>0</v>
      </c>
      <c r="DC107" s="260"/>
      <c r="DD107" s="267">
        <v>0</v>
      </c>
      <c r="DE107" s="260"/>
      <c r="DF107" s="267">
        <v>0</v>
      </c>
      <c r="DG107" s="260"/>
      <c r="DH107" s="260"/>
      <c r="DI107" s="70"/>
      <c r="DJ107" s="262">
        <v>0</v>
      </c>
      <c r="DK107" s="262"/>
      <c r="DL107" s="262"/>
      <c r="DM107" s="262"/>
      <c r="DN107" s="262"/>
      <c r="DO107" s="262"/>
      <c r="DP107" s="262"/>
      <c r="DQ107" s="70"/>
      <c r="DR107" s="70"/>
      <c r="DS107" s="70"/>
      <c r="DT107" s="70"/>
      <c r="DU107" s="70"/>
      <c r="DV107" s="70"/>
      <c r="DW107" s="70"/>
      <c r="DX107" s="70"/>
      <c r="DY107" s="70"/>
      <c r="DZ107" s="70"/>
      <c r="EA107" s="70"/>
      <c r="EB107" s="70"/>
      <c r="EC107" s="70"/>
      <c r="ED107" s="70"/>
      <c r="EE107" s="70"/>
      <c r="EF107" s="70"/>
      <c r="EG107" s="70"/>
      <c r="EH107" s="70"/>
      <c r="EI107" s="70"/>
    </row>
    <row r="108" spans="1:139" s="47" customFormat="1" ht="39.75" customHeight="1">
      <c r="A108" s="50">
        <v>195</v>
      </c>
      <c r="B108" s="260">
        <v>42585</v>
      </c>
      <c r="C108" s="55">
        <v>42585.634027777778</v>
      </c>
      <c r="D108" s="261">
        <v>36525181</v>
      </c>
      <c r="E108" s="262" t="s">
        <v>523</v>
      </c>
      <c r="F108" s="47" t="b">
        <v>1</v>
      </c>
      <c r="H108" s="262" t="s">
        <v>441</v>
      </c>
      <c r="I108" s="260">
        <v>29541</v>
      </c>
      <c r="J108" s="255">
        <v>35.736986301369861</v>
      </c>
      <c r="K108" s="181">
        <v>428.79684418145956</v>
      </c>
      <c r="L108" s="262" t="s">
        <v>442</v>
      </c>
      <c r="M108" s="263" t="s">
        <v>524</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7">
        <v>0</v>
      </c>
      <c r="AK108" s="323">
        <f t="shared" si="2"/>
        <v>0</v>
      </c>
      <c r="AL108" s="263"/>
      <c r="AM108" s="264">
        <v>42585</v>
      </c>
      <c r="AN108" s="265" t="s">
        <v>1761</v>
      </c>
      <c r="AO108" s="54">
        <v>42600</v>
      </c>
      <c r="AP108" s="262" t="s">
        <v>1762</v>
      </c>
      <c r="AQ108" s="264">
        <v>42584</v>
      </c>
      <c r="AR108" s="265">
        <v>1</v>
      </c>
      <c r="AS108" s="265" t="s">
        <v>1763</v>
      </c>
      <c r="AT108" s="327">
        <v>0</v>
      </c>
      <c r="AU108" s="265">
        <v>0</v>
      </c>
      <c r="AV108" s="265">
        <v>0</v>
      </c>
      <c r="AW108" s="265">
        <v>1</v>
      </c>
      <c r="AX108" s="265" t="s">
        <v>525</v>
      </c>
      <c r="AY108" s="262"/>
      <c r="AZ108" s="193" t="s">
        <v>1537</v>
      </c>
      <c r="BA108" s="47">
        <v>0</v>
      </c>
      <c r="BB108" s="69">
        <v>1</v>
      </c>
      <c r="BC108" s="69">
        <v>25</v>
      </c>
      <c r="BD108" s="69">
        <v>0</v>
      </c>
      <c r="BE108" s="69">
        <v>1</v>
      </c>
      <c r="BF108" s="234">
        <v>0</v>
      </c>
      <c r="BG108" s="766">
        <v>0</v>
      </c>
      <c r="BH108" s="766"/>
      <c r="BI108" s="223">
        <v>0</v>
      </c>
      <c r="BJ108" s="70"/>
      <c r="BK108" s="70">
        <v>0</v>
      </c>
      <c r="BL108" s="70"/>
      <c r="BM108" s="70">
        <v>0</v>
      </c>
      <c r="BN108" s="70"/>
      <c r="BO108" s="70">
        <v>0</v>
      </c>
      <c r="BP108" s="70">
        <v>0</v>
      </c>
      <c r="BQ108" s="70">
        <v>0</v>
      </c>
      <c r="BR108" s="70">
        <v>0</v>
      </c>
      <c r="BS108" s="266">
        <v>0</v>
      </c>
      <c r="BT108" s="272">
        <v>1</v>
      </c>
      <c r="BU108" s="262" t="s">
        <v>1764</v>
      </c>
      <c r="BV108" s="262">
        <v>0</v>
      </c>
      <c r="BW108" s="262">
        <v>0</v>
      </c>
      <c r="BX108" s="262">
        <v>0</v>
      </c>
      <c r="BY108" s="262"/>
      <c r="BZ108" s="262"/>
      <c r="CA108" s="262"/>
      <c r="CB108" s="70">
        <v>0</v>
      </c>
      <c r="CC108" s="70">
        <v>0</v>
      </c>
      <c r="CD108" s="70">
        <v>0</v>
      </c>
      <c r="CE108" s="70"/>
      <c r="CF108" s="70"/>
      <c r="CG108" s="70"/>
      <c r="CH108" s="70">
        <v>0</v>
      </c>
      <c r="CI108" s="70"/>
      <c r="CJ108" s="70">
        <v>0</v>
      </c>
      <c r="CK108" s="70">
        <v>0</v>
      </c>
      <c r="CL108" s="70">
        <v>0</v>
      </c>
      <c r="CM108" s="47">
        <v>152</v>
      </c>
      <c r="CN108" s="47">
        <v>136</v>
      </c>
      <c r="CP108" s="504">
        <v>29.9</v>
      </c>
      <c r="CQ108" s="504">
        <v>31.4</v>
      </c>
      <c r="CR108" s="260">
        <v>42584</v>
      </c>
      <c r="CS108" s="260">
        <v>42600</v>
      </c>
      <c r="CT108" s="78">
        <v>15</v>
      </c>
      <c r="CU108" s="79">
        <v>42600</v>
      </c>
      <c r="CV108" s="267">
        <v>1</v>
      </c>
      <c r="CW108" s="79">
        <v>42600</v>
      </c>
      <c r="CX108" s="267">
        <v>1</v>
      </c>
      <c r="CY108" s="267">
        <v>1</v>
      </c>
      <c r="CZ108" s="267">
        <v>0</v>
      </c>
      <c r="DA108" s="260" t="s">
        <v>1766</v>
      </c>
      <c r="DB108" s="267">
        <v>0</v>
      </c>
      <c r="DC108" s="260"/>
      <c r="DD108" s="267">
        <v>0</v>
      </c>
      <c r="DE108" s="260"/>
      <c r="DF108" s="267">
        <v>0</v>
      </c>
      <c r="DG108" s="260"/>
      <c r="DH108" s="260" t="s">
        <v>1765</v>
      </c>
      <c r="DI108" s="70"/>
      <c r="DJ108" s="262">
        <v>1</v>
      </c>
      <c r="DK108" s="262"/>
      <c r="DL108" s="262" t="b">
        <v>1</v>
      </c>
      <c r="DM108" s="262"/>
      <c r="DN108" s="260">
        <v>42600</v>
      </c>
      <c r="DO108" s="284" t="s">
        <v>526</v>
      </c>
      <c r="DP108" s="262"/>
      <c r="DQ108" s="70"/>
      <c r="DR108" s="70"/>
      <c r="DS108" s="70"/>
      <c r="DT108" s="70"/>
      <c r="DU108" s="70"/>
      <c r="DV108" s="70"/>
      <c r="DW108" s="70"/>
      <c r="DX108" s="70"/>
      <c r="DY108" s="70"/>
      <c r="DZ108" s="70"/>
      <c r="EA108" s="70"/>
      <c r="EB108" s="70"/>
      <c r="EC108" s="70"/>
      <c r="ED108" s="70"/>
      <c r="EE108" s="70"/>
      <c r="EF108" s="70"/>
      <c r="EG108" s="70"/>
      <c r="EH108" s="70"/>
      <c r="EI108" s="70"/>
    </row>
    <row r="109" spans="1:139" s="48" customFormat="1" ht="39.75" customHeight="1">
      <c r="A109" s="60">
        <v>196</v>
      </c>
      <c r="B109" s="95">
        <v>42583</v>
      </c>
      <c r="C109" s="62">
        <v>42583.584027777775</v>
      </c>
      <c r="D109" s="96">
        <v>21187802</v>
      </c>
      <c r="E109" s="97" t="s">
        <v>527</v>
      </c>
      <c r="F109" s="48" t="b">
        <v>0</v>
      </c>
      <c r="G109" s="48" t="s">
        <v>1674</v>
      </c>
      <c r="H109" s="97" t="s">
        <v>418</v>
      </c>
      <c r="I109" s="95">
        <v>22272</v>
      </c>
      <c r="J109" s="98">
        <v>55.646575342465752</v>
      </c>
      <c r="K109" s="85">
        <v>667.68573307034842</v>
      </c>
      <c r="L109" s="97" t="s">
        <v>493</v>
      </c>
      <c r="M109" s="268" t="s">
        <v>528</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c r="AK109" s="324">
        <f t="shared" si="2"/>
        <v>0</v>
      </c>
      <c r="AL109" s="187"/>
      <c r="AM109" s="191"/>
      <c r="AN109" s="51"/>
      <c r="AO109" s="61"/>
      <c r="AP109" s="60"/>
      <c r="AQ109" s="191"/>
      <c r="AR109" s="51"/>
      <c r="AS109" s="51"/>
      <c r="AT109" s="324"/>
      <c r="AU109" s="51"/>
      <c r="AV109" s="51"/>
      <c r="AW109" s="51"/>
      <c r="AX109" s="100" t="s">
        <v>529</v>
      </c>
      <c r="AY109" s="100"/>
      <c r="AZ109" s="91">
        <v>1</v>
      </c>
      <c r="BB109" s="82"/>
      <c r="BC109" s="82" t="e">
        <v>#REF!</v>
      </c>
      <c r="BD109" s="82"/>
      <c r="BE109" s="82"/>
      <c r="BF109" s="235"/>
      <c r="BG109" s="767"/>
      <c r="BH109" s="767"/>
      <c r="BI109" s="224">
        <v>1</v>
      </c>
      <c r="BJ109" s="71"/>
      <c r="BK109" s="71"/>
      <c r="BL109" s="71"/>
      <c r="BM109" s="71"/>
      <c r="BN109" s="71"/>
      <c r="BO109" s="71"/>
      <c r="BP109" s="71"/>
      <c r="BQ109" s="71"/>
      <c r="BR109" s="71"/>
      <c r="BS109" s="246" t="s">
        <v>261</v>
      </c>
      <c r="BT109" s="238"/>
      <c r="BU109" s="97"/>
      <c r="BV109" s="97"/>
      <c r="BW109" s="97"/>
      <c r="BX109" s="95"/>
      <c r="BY109" s="95"/>
      <c r="BZ109" s="95"/>
      <c r="CA109" s="71" t="e">
        <v>#REF!</v>
      </c>
      <c r="CB109" s="86"/>
      <c r="CC109" s="86"/>
      <c r="CD109" s="86"/>
      <c r="CE109" s="86"/>
      <c r="CF109" s="86"/>
      <c r="CG109" s="71"/>
      <c r="CH109" s="71"/>
      <c r="CI109" s="71"/>
      <c r="CJ109" s="71"/>
      <c r="CK109" s="71"/>
      <c r="CL109" s="71"/>
      <c r="CM109" s="48">
        <v>86</v>
      </c>
      <c r="CN109" s="48">
        <v>64</v>
      </c>
      <c r="CP109" s="505">
        <v>27.8</v>
      </c>
      <c r="CQ109" s="505">
        <v>29.7</v>
      </c>
      <c r="CR109" s="95">
        <v>42579</v>
      </c>
      <c r="CS109" s="95">
        <v>42595</v>
      </c>
      <c r="CT109" s="83">
        <v>12</v>
      </c>
      <c r="CU109" s="84"/>
      <c r="CV109" s="101"/>
      <c r="CW109" s="95"/>
      <c r="CX109" s="101"/>
      <c r="CY109" s="101"/>
      <c r="CZ109" s="101"/>
      <c r="DA109" s="95"/>
      <c r="DB109" s="101"/>
      <c r="DC109" s="95"/>
      <c r="DD109" s="101"/>
      <c r="DE109" s="95"/>
      <c r="DF109" s="101"/>
      <c r="DG109" s="95"/>
      <c r="DH109" s="87" t="s">
        <v>530</v>
      </c>
      <c r="DI109" s="71"/>
      <c r="DJ109" s="97">
        <v>0</v>
      </c>
      <c r="DK109" s="97"/>
      <c r="DL109" s="97"/>
      <c r="DM109" s="97"/>
      <c r="DN109" s="97"/>
      <c r="DO109" s="97"/>
      <c r="DP109" s="97"/>
      <c r="DQ109" s="71"/>
      <c r="DR109" s="71"/>
      <c r="DS109" s="71"/>
      <c r="DT109" s="71"/>
      <c r="DU109" s="71"/>
      <c r="DV109" s="71"/>
      <c r="DW109" s="71"/>
      <c r="DX109" s="71"/>
      <c r="DY109" s="71"/>
      <c r="DZ109" s="71"/>
      <c r="EA109" s="71"/>
      <c r="EB109" s="71"/>
      <c r="EC109" s="71"/>
      <c r="ED109" s="71"/>
      <c r="EE109" s="71"/>
      <c r="EF109" s="71"/>
      <c r="EG109" s="71"/>
      <c r="EH109" s="71"/>
      <c r="EI109" s="71"/>
    </row>
    <row r="110" spans="1:139" s="48" customFormat="1" ht="39.75" customHeight="1">
      <c r="A110" s="60">
        <v>197</v>
      </c>
      <c r="B110" s="95">
        <v>42565</v>
      </c>
      <c r="C110" s="62">
        <v>42565.763888888891</v>
      </c>
      <c r="D110" s="96">
        <v>36227793</v>
      </c>
      <c r="E110" s="97" t="s">
        <v>531</v>
      </c>
      <c r="F110" s="48" t="b">
        <v>0</v>
      </c>
      <c r="G110" s="48" t="s">
        <v>1487</v>
      </c>
      <c r="H110" s="97" t="s">
        <v>418</v>
      </c>
      <c r="I110" s="95">
        <v>15449</v>
      </c>
      <c r="J110" s="98">
        <v>74.290410958904104</v>
      </c>
      <c r="K110" s="85">
        <v>891.38724523339909</v>
      </c>
      <c r="L110" s="97" t="s">
        <v>442</v>
      </c>
      <c r="M110" s="268" t="s">
        <v>532</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8"/>
      <c r="AK110" s="324">
        <f t="shared" si="2"/>
        <v>0</v>
      </c>
      <c r="AL110" s="268"/>
      <c r="AM110" s="269"/>
      <c r="AN110" s="100"/>
      <c r="AO110" s="61"/>
      <c r="AP110" s="97"/>
      <c r="AQ110" s="269"/>
      <c r="AR110" s="100"/>
      <c r="AS110" s="100"/>
      <c r="AT110" s="328"/>
      <c r="AU110" s="100"/>
      <c r="AV110" s="100"/>
      <c r="AW110" s="100"/>
      <c r="AX110" s="100" t="s">
        <v>533</v>
      </c>
      <c r="AY110" s="100">
        <v>1</v>
      </c>
      <c r="AZ110" s="91"/>
      <c r="BB110" s="82"/>
      <c r="BC110" s="82"/>
      <c r="BD110" s="82"/>
      <c r="BE110" s="82"/>
      <c r="BF110" s="235"/>
      <c r="BG110" s="767"/>
      <c r="BH110" s="767"/>
      <c r="BI110" s="224"/>
      <c r="BJ110" s="71"/>
      <c r="BK110" s="71"/>
      <c r="BL110" s="71"/>
      <c r="BM110" s="71"/>
      <c r="BN110" s="71"/>
      <c r="BO110" s="71"/>
      <c r="BP110" s="71"/>
      <c r="BQ110" s="71"/>
      <c r="BR110" s="71"/>
      <c r="BS110" s="246"/>
      <c r="BT110" s="239" t="s">
        <v>245</v>
      </c>
      <c r="BU110" s="118"/>
      <c r="BV110" s="118"/>
      <c r="BW110" s="118"/>
      <c r="BX110" s="97"/>
      <c r="BY110" s="97"/>
      <c r="BZ110" s="97"/>
      <c r="CA110" s="97"/>
      <c r="CB110" s="71"/>
      <c r="CC110" s="71"/>
      <c r="CD110" s="71"/>
      <c r="CE110" s="71"/>
      <c r="CF110" s="71">
        <v>1</v>
      </c>
      <c r="CG110" s="71"/>
      <c r="CH110" s="71"/>
      <c r="CI110" s="71"/>
      <c r="CJ110" s="71"/>
      <c r="CK110" s="71"/>
      <c r="CL110" s="71"/>
      <c r="CM110" s="48">
        <v>180</v>
      </c>
      <c r="CN110" s="48">
        <v>135</v>
      </c>
      <c r="CP110" s="505">
        <v>28.9</v>
      </c>
      <c r="CQ110" s="505">
        <v>31.1</v>
      </c>
      <c r="CR110" s="95">
        <v>42564</v>
      </c>
      <c r="CS110" s="95">
        <v>42579</v>
      </c>
      <c r="CT110" s="83">
        <v>14</v>
      </c>
      <c r="CU110" s="84"/>
      <c r="CV110" s="101"/>
      <c r="CW110" s="95"/>
      <c r="CX110" s="101"/>
      <c r="CY110" s="101"/>
      <c r="CZ110" s="101"/>
      <c r="DA110" s="95"/>
      <c r="DB110" s="101"/>
      <c r="DC110" s="95"/>
      <c r="DD110" s="101"/>
      <c r="DE110" s="95"/>
      <c r="DF110" s="101"/>
      <c r="DG110" s="95"/>
      <c r="DH110" s="95"/>
      <c r="DI110" s="71"/>
      <c r="DJ110" s="97">
        <v>0</v>
      </c>
      <c r="DK110" s="97"/>
      <c r="DL110" s="97"/>
      <c r="DM110" s="97"/>
      <c r="DN110" s="97"/>
      <c r="DO110" s="97"/>
      <c r="DP110" s="97"/>
      <c r="DQ110" s="71"/>
      <c r="DR110" s="71"/>
      <c r="DS110" s="71"/>
      <c r="DT110" s="71"/>
      <c r="DU110" s="71"/>
      <c r="DV110" s="71"/>
      <c r="DW110" s="71"/>
      <c r="DX110" s="71"/>
      <c r="DY110" s="71"/>
      <c r="DZ110" s="71"/>
      <c r="EA110" s="71"/>
      <c r="EB110" s="71"/>
      <c r="EC110" s="71"/>
      <c r="ED110" s="71"/>
      <c r="EE110" s="71"/>
      <c r="EF110" s="71"/>
      <c r="EG110" s="71"/>
      <c r="EH110" s="71"/>
      <c r="EI110" s="71"/>
    </row>
    <row r="111" spans="1:139" s="47" customFormat="1" ht="39.75" customHeight="1">
      <c r="A111" s="50">
        <v>198</v>
      </c>
      <c r="B111" s="260">
        <v>42564</v>
      </c>
      <c r="C111" s="55">
        <v>42564.495833333334</v>
      </c>
      <c r="D111" s="261">
        <v>36403663</v>
      </c>
      <c r="E111" s="262" t="s">
        <v>534</v>
      </c>
      <c r="F111" s="47" t="b">
        <v>1</v>
      </c>
      <c r="H111" s="262" t="s">
        <v>418</v>
      </c>
      <c r="I111" s="260">
        <v>21909</v>
      </c>
      <c r="J111" s="255">
        <v>56.589041095890408</v>
      </c>
      <c r="K111" s="181">
        <v>678.99408284023662</v>
      </c>
      <c r="L111" s="285" t="s">
        <v>419</v>
      </c>
      <c r="M111" s="263" t="s">
        <v>535</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7">
        <v>0</v>
      </c>
      <c r="AK111" s="323">
        <f t="shared" si="2"/>
        <v>0</v>
      </c>
      <c r="AL111" s="263"/>
      <c r="AM111" s="264">
        <v>42563</v>
      </c>
      <c r="AN111" s="265" t="s">
        <v>1749</v>
      </c>
      <c r="AO111" s="286">
        <v>42622</v>
      </c>
      <c r="AP111" s="262" t="s">
        <v>1767</v>
      </c>
      <c r="AQ111" s="54">
        <v>42555</v>
      </c>
      <c r="AR111" s="265">
        <v>1</v>
      </c>
      <c r="AS111" s="265" t="s">
        <v>1751</v>
      </c>
      <c r="AT111" s="327">
        <v>0</v>
      </c>
      <c r="AU111" s="265">
        <v>1</v>
      </c>
      <c r="AV111" s="265">
        <v>0</v>
      </c>
      <c r="AW111" s="265">
        <v>1</v>
      </c>
      <c r="AX111" s="262" t="s">
        <v>536</v>
      </c>
      <c r="AY111" s="265"/>
      <c r="AZ111" s="193" t="s">
        <v>1752</v>
      </c>
      <c r="BA111" s="47">
        <v>0</v>
      </c>
      <c r="BB111" s="69">
        <v>1</v>
      </c>
      <c r="BC111" s="69"/>
      <c r="BD111" s="69">
        <v>1</v>
      </c>
      <c r="BE111" s="69">
        <v>0</v>
      </c>
      <c r="BF111" s="234">
        <v>0</v>
      </c>
      <c r="BG111" s="766">
        <v>0</v>
      </c>
      <c r="BH111" s="766"/>
      <c r="BI111" s="223">
        <v>0</v>
      </c>
      <c r="BJ111" s="70"/>
      <c r="BK111" s="70">
        <v>0</v>
      </c>
      <c r="BL111" s="70"/>
      <c r="BM111" s="70">
        <v>0</v>
      </c>
      <c r="BN111" s="70"/>
      <c r="BO111" s="70">
        <v>0</v>
      </c>
      <c r="BP111" s="70">
        <v>0</v>
      </c>
      <c r="BQ111" s="70">
        <v>0</v>
      </c>
      <c r="BR111" s="70">
        <v>0</v>
      </c>
      <c r="BS111" s="266">
        <v>0</v>
      </c>
      <c r="BT111" s="272">
        <v>1</v>
      </c>
      <c r="BU111" s="262" t="s">
        <v>1768</v>
      </c>
      <c r="BV111" s="262">
        <v>0</v>
      </c>
      <c r="BW111" s="262">
        <v>0</v>
      </c>
      <c r="BX111" s="262">
        <v>0</v>
      </c>
      <c r="BY111" s="262"/>
      <c r="BZ111" s="262"/>
      <c r="CA111" s="262"/>
      <c r="CB111" s="70">
        <v>0</v>
      </c>
      <c r="CC111" s="70">
        <v>0</v>
      </c>
      <c r="CD111" s="70">
        <v>0</v>
      </c>
      <c r="CE111" s="70"/>
      <c r="CF111" s="70"/>
      <c r="CG111" s="70"/>
      <c r="CH111" s="70">
        <v>0</v>
      </c>
      <c r="CI111" s="70"/>
      <c r="CJ111" s="70">
        <v>0</v>
      </c>
      <c r="CK111" s="70">
        <v>0</v>
      </c>
      <c r="CL111" s="70">
        <v>0</v>
      </c>
      <c r="CM111" s="47">
        <v>83</v>
      </c>
      <c r="CN111" s="47">
        <v>59</v>
      </c>
      <c r="CP111" s="504">
        <v>31.4</v>
      </c>
      <c r="CQ111" s="504">
        <v>32.799999999999997</v>
      </c>
      <c r="CR111" s="260">
        <v>42562</v>
      </c>
      <c r="CS111" s="260">
        <v>42607</v>
      </c>
      <c r="CT111" s="78">
        <v>43</v>
      </c>
      <c r="CU111" s="79">
        <v>43447</v>
      </c>
      <c r="CV111" s="267">
        <v>0</v>
      </c>
      <c r="CW111" s="260"/>
      <c r="CX111" s="267">
        <v>0</v>
      </c>
      <c r="CY111" s="267">
        <v>0</v>
      </c>
      <c r="CZ111" s="267">
        <v>0</v>
      </c>
      <c r="DA111" s="260"/>
      <c r="DB111" s="267">
        <v>0</v>
      </c>
      <c r="DC111" s="260"/>
      <c r="DD111" s="267">
        <v>0</v>
      </c>
      <c r="DE111" s="260"/>
      <c r="DF111" s="267">
        <v>0</v>
      </c>
      <c r="DG111" s="260"/>
      <c r="DH111" s="260"/>
      <c r="DI111" s="70"/>
      <c r="DJ111" s="262">
        <v>0</v>
      </c>
      <c r="DK111" s="262"/>
      <c r="DL111" s="262"/>
      <c r="DM111" s="262"/>
      <c r="DN111" s="262"/>
      <c r="DO111" s="262"/>
      <c r="DP111" s="262"/>
      <c r="DQ111" s="70"/>
      <c r="DR111" s="70"/>
      <c r="DS111" s="70"/>
      <c r="DT111" s="70"/>
      <c r="DU111" s="70"/>
      <c r="DV111" s="70"/>
      <c r="DW111" s="70"/>
      <c r="DX111" s="70"/>
      <c r="DY111" s="70"/>
      <c r="DZ111" s="70"/>
      <c r="EA111" s="70"/>
      <c r="EB111" s="70"/>
      <c r="EC111" s="70"/>
      <c r="ED111" s="70"/>
      <c r="EE111" s="70"/>
      <c r="EF111" s="70"/>
      <c r="EG111" s="70"/>
      <c r="EH111" s="70"/>
      <c r="EI111" s="70"/>
    </row>
    <row r="112" spans="1:139" s="47" customFormat="1" ht="39.75" customHeight="1">
      <c r="A112" s="50">
        <v>199</v>
      </c>
      <c r="B112" s="260">
        <v>42559</v>
      </c>
      <c r="C112" s="55">
        <v>42559.634027777778</v>
      </c>
      <c r="D112" s="261">
        <v>34755742</v>
      </c>
      <c r="E112" s="262" t="s">
        <v>537</v>
      </c>
      <c r="F112" s="47" t="b">
        <v>1</v>
      </c>
      <c r="H112" s="262" t="s">
        <v>418</v>
      </c>
      <c r="I112" s="260">
        <v>29794</v>
      </c>
      <c r="J112" s="255">
        <v>34.972602739726028</v>
      </c>
      <c r="K112" s="181">
        <v>419.62524654832345</v>
      </c>
      <c r="L112" s="262" t="s">
        <v>493</v>
      </c>
      <c r="M112" s="263" t="s">
        <v>538</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7">
        <v>0</v>
      </c>
      <c r="AK112" s="323">
        <f t="shared" si="2"/>
        <v>0</v>
      </c>
      <c r="AL112" s="263"/>
      <c r="AM112" s="264">
        <v>42555</v>
      </c>
      <c r="AN112" s="265" t="s">
        <v>1525</v>
      </c>
      <c r="AO112" s="54">
        <v>42600</v>
      </c>
      <c r="AP112" s="262" t="s">
        <v>1750</v>
      </c>
      <c r="AQ112" s="264">
        <v>42555</v>
      </c>
      <c r="AR112" s="265">
        <v>1</v>
      </c>
      <c r="AS112" s="265" t="s">
        <v>1769</v>
      </c>
      <c r="AT112" s="327">
        <v>0</v>
      </c>
      <c r="AU112" s="265">
        <v>0</v>
      </c>
      <c r="AV112" s="265">
        <v>1</v>
      </c>
      <c r="AW112" s="265">
        <v>1</v>
      </c>
      <c r="AX112" s="265" t="s">
        <v>539</v>
      </c>
      <c r="AY112" s="265"/>
      <c r="AZ112" s="193" t="s">
        <v>1770</v>
      </c>
      <c r="BA112" s="47">
        <v>0</v>
      </c>
      <c r="BB112" s="69">
        <v>1</v>
      </c>
      <c r="BC112" s="69"/>
      <c r="BD112" s="69">
        <v>0</v>
      </c>
      <c r="BE112" s="69">
        <v>1</v>
      </c>
      <c r="BF112" s="234">
        <v>1</v>
      </c>
      <c r="BG112" s="766">
        <v>1</v>
      </c>
      <c r="BH112" s="766" t="s">
        <v>2004</v>
      </c>
      <c r="BI112" s="223">
        <v>0</v>
      </c>
      <c r="BJ112" s="70"/>
      <c r="BK112" s="70">
        <v>0</v>
      </c>
      <c r="BL112" s="70"/>
      <c r="BM112" s="70">
        <v>0</v>
      </c>
      <c r="BN112" s="70"/>
      <c r="BO112" s="70">
        <v>0</v>
      </c>
      <c r="BP112" s="70">
        <v>0</v>
      </c>
      <c r="BQ112" s="70">
        <v>0</v>
      </c>
      <c r="BR112" s="70">
        <v>0</v>
      </c>
      <c r="BS112" s="266">
        <v>0</v>
      </c>
      <c r="BT112" s="272">
        <v>1</v>
      </c>
      <c r="BU112" s="262" t="s">
        <v>1771</v>
      </c>
      <c r="BV112" s="262">
        <v>0</v>
      </c>
      <c r="BW112" s="262">
        <v>0</v>
      </c>
      <c r="BX112" s="262">
        <v>0</v>
      </c>
      <c r="BY112" s="262"/>
      <c r="BZ112" s="262"/>
      <c r="CA112" s="262"/>
      <c r="CB112" s="70">
        <v>0</v>
      </c>
      <c r="CC112" s="70">
        <v>0</v>
      </c>
      <c r="CD112" s="70">
        <v>0</v>
      </c>
      <c r="CE112" s="70"/>
      <c r="CF112" s="70"/>
      <c r="CG112" s="70"/>
      <c r="CH112" s="70">
        <v>0</v>
      </c>
      <c r="CI112" s="70"/>
      <c r="CJ112" s="70">
        <v>0</v>
      </c>
      <c r="CK112" s="70">
        <v>0</v>
      </c>
      <c r="CL112" s="70">
        <v>0</v>
      </c>
      <c r="CM112" s="47">
        <v>132</v>
      </c>
      <c r="CN112" s="47">
        <v>101</v>
      </c>
      <c r="CP112" s="504">
        <v>27.1</v>
      </c>
      <c r="CQ112" s="504">
        <v>29.9</v>
      </c>
      <c r="CR112" s="260">
        <v>42555</v>
      </c>
      <c r="CS112" s="260">
        <v>42607</v>
      </c>
      <c r="CT112" s="78">
        <v>48</v>
      </c>
      <c r="CU112" s="79">
        <v>43942</v>
      </c>
      <c r="CV112" s="267">
        <v>0</v>
      </c>
      <c r="CW112" s="260"/>
      <c r="CX112" s="267">
        <v>0</v>
      </c>
      <c r="CY112" s="267">
        <v>0</v>
      </c>
      <c r="CZ112" s="267">
        <v>0</v>
      </c>
      <c r="DA112" s="260"/>
      <c r="DB112" s="267">
        <v>0</v>
      </c>
      <c r="DC112" s="260"/>
      <c r="DD112" s="267">
        <v>0</v>
      </c>
      <c r="DE112" s="260"/>
      <c r="DF112" s="267">
        <v>0</v>
      </c>
      <c r="DG112" s="260"/>
      <c r="DH112" s="260"/>
      <c r="DI112" s="70"/>
      <c r="DJ112" s="262">
        <v>0</v>
      </c>
      <c r="DK112" s="262"/>
      <c r="DL112" s="262"/>
      <c r="DM112" s="262"/>
      <c r="DN112" s="262"/>
      <c r="DO112" s="262"/>
      <c r="DP112" s="262"/>
      <c r="DQ112" s="70"/>
      <c r="DR112" s="70"/>
      <c r="DS112" s="70"/>
      <c r="DT112" s="70"/>
      <c r="DU112" s="70"/>
      <c r="DV112" s="70"/>
      <c r="DW112" s="70"/>
      <c r="DX112" s="70"/>
      <c r="DY112" s="70"/>
      <c r="DZ112" s="70"/>
      <c r="EA112" s="70"/>
      <c r="EB112" s="70"/>
      <c r="EC112" s="70"/>
      <c r="ED112" s="70"/>
      <c r="EE112" s="70"/>
      <c r="EF112" s="70"/>
      <c r="EG112" s="70"/>
      <c r="EH112" s="70"/>
      <c r="EI112" s="70"/>
    </row>
    <row r="113" spans="1:139" s="47" customFormat="1" ht="39.75" customHeight="1">
      <c r="A113" s="50">
        <v>203</v>
      </c>
      <c r="B113" s="260">
        <v>42518</v>
      </c>
      <c r="C113" s="55">
        <v>42518.445833333331</v>
      </c>
      <c r="D113" s="261">
        <v>36169491</v>
      </c>
      <c r="E113" s="262" t="s">
        <v>540</v>
      </c>
      <c r="F113" s="47" t="b">
        <v>1</v>
      </c>
      <c r="H113" s="262" t="s">
        <v>418</v>
      </c>
      <c r="I113" s="260">
        <v>27638</v>
      </c>
      <c r="J113" s="270">
        <v>40.767123287671232</v>
      </c>
      <c r="K113" s="181">
        <v>489.15187376725834</v>
      </c>
      <c r="L113" s="262" t="s">
        <v>442</v>
      </c>
      <c r="M113" s="263" t="s">
        <v>541</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v>0</v>
      </c>
      <c r="AK113" s="323">
        <f t="shared" si="2"/>
        <v>0</v>
      </c>
      <c r="AL113" s="186" t="s">
        <v>542</v>
      </c>
      <c r="AM113" s="58">
        <v>42459</v>
      </c>
      <c r="AN113" s="52" t="s">
        <v>1772</v>
      </c>
      <c r="AO113" s="54">
        <v>42536</v>
      </c>
      <c r="AP113" s="50" t="s">
        <v>543</v>
      </c>
      <c r="AQ113" s="58">
        <v>42454</v>
      </c>
      <c r="AR113" s="52">
        <v>1</v>
      </c>
      <c r="AS113" s="52" t="s">
        <v>544</v>
      </c>
      <c r="AT113" s="323">
        <v>0</v>
      </c>
      <c r="AU113" s="52">
        <v>1</v>
      </c>
      <c r="AV113" s="52">
        <v>1</v>
      </c>
      <c r="AW113" s="52">
        <v>1</v>
      </c>
      <c r="AX113" s="265" t="s">
        <v>545</v>
      </c>
      <c r="AY113" s="265"/>
      <c r="AZ113" s="193" t="s">
        <v>1752</v>
      </c>
      <c r="BA113" s="47">
        <v>0</v>
      </c>
      <c r="BB113" s="69">
        <v>1</v>
      </c>
      <c r="BC113" s="69"/>
      <c r="BD113" s="69">
        <v>1</v>
      </c>
      <c r="BE113" s="69">
        <v>0</v>
      </c>
      <c r="BF113" s="234">
        <v>1</v>
      </c>
      <c r="BG113" s="766">
        <v>0</v>
      </c>
      <c r="BH113" s="766"/>
      <c r="BI113" s="223">
        <v>1</v>
      </c>
      <c r="BJ113" s="70"/>
      <c r="BK113" s="70">
        <v>1</v>
      </c>
      <c r="BL113" s="70" t="s">
        <v>1773</v>
      </c>
      <c r="BM113" s="80">
        <v>1</v>
      </c>
      <c r="BN113" s="80" t="s">
        <v>1774</v>
      </c>
      <c r="BO113" s="80">
        <v>0</v>
      </c>
      <c r="BP113" s="80">
        <v>0</v>
      </c>
      <c r="BQ113" s="80">
        <v>1</v>
      </c>
      <c r="BR113" s="80">
        <v>1</v>
      </c>
      <c r="BS113" s="242">
        <v>0</v>
      </c>
      <c r="BT113" s="287">
        <v>0</v>
      </c>
      <c r="BU113" s="288"/>
      <c r="BV113" s="288">
        <v>0</v>
      </c>
      <c r="BW113" s="288">
        <v>0</v>
      </c>
      <c r="BX113" s="288">
        <v>0</v>
      </c>
      <c r="BY113" s="288"/>
      <c r="BZ113" s="288"/>
      <c r="CA113" s="70"/>
      <c r="CB113" s="77">
        <v>0</v>
      </c>
      <c r="CC113" s="77">
        <v>0</v>
      </c>
      <c r="CD113" s="77">
        <v>0</v>
      </c>
      <c r="CE113" s="77"/>
      <c r="CF113" s="77"/>
      <c r="CG113" s="70"/>
      <c r="CH113" s="70">
        <v>1</v>
      </c>
      <c r="CI113" s="70"/>
      <c r="CJ113" s="70">
        <v>1</v>
      </c>
      <c r="CK113" s="70">
        <v>0</v>
      </c>
      <c r="CL113" s="70">
        <v>0</v>
      </c>
      <c r="CM113" s="47">
        <v>221</v>
      </c>
      <c r="CN113" s="47">
        <v>198</v>
      </c>
      <c r="CP113" s="504">
        <v>28.7</v>
      </c>
      <c r="CQ113" s="504">
        <v>29.7</v>
      </c>
      <c r="CR113" s="260">
        <v>42517</v>
      </c>
      <c r="CS113" s="260">
        <v>42536</v>
      </c>
      <c r="CT113" s="78">
        <v>18</v>
      </c>
      <c r="CU113" s="79">
        <v>42536</v>
      </c>
      <c r="CV113" s="267">
        <v>0</v>
      </c>
      <c r="CW113" s="260"/>
      <c r="CX113" s="267">
        <v>0</v>
      </c>
      <c r="CY113" s="267">
        <v>0</v>
      </c>
      <c r="CZ113" s="267">
        <v>0</v>
      </c>
      <c r="DA113" s="260"/>
      <c r="DB113" s="267">
        <v>0</v>
      </c>
      <c r="DC113" s="260"/>
      <c r="DD113" s="267">
        <v>0</v>
      </c>
      <c r="DE113" s="260"/>
      <c r="DF113" s="267">
        <v>0</v>
      </c>
      <c r="DG113" s="260"/>
      <c r="DH113" s="260"/>
      <c r="DI113" s="70"/>
      <c r="DJ113" s="262">
        <v>0</v>
      </c>
      <c r="DK113" s="262"/>
      <c r="DL113" s="288"/>
      <c r="DM113" s="288"/>
      <c r="DN113" s="288"/>
      <c r="DO113" s="288"/>
      <c r="DP113" s="288"/>
      <c r="DQ113" s="70"/>
      <c r="DR113" s="70"/>
      <c r="DS113" s="70"/>
      <c r="DT113" s="70"/>
      <c r="DU113" s="70"/>
      <c r="DV113" s="70"/>
      <c r="DW113" s="70"/>
      <c r="DX113" s="70"/>
      <c r="DY113" s="70"/>
      <c r="DZ113" s="70"/>
      <c r="EA113" s="70"/>
      <c r="EB113" s="70"/>
      <c r="EC113" s="70"/>
      <c r="ED113" s="70"/>
      <c r="EE113" s="70"/>
      <c r="EF113" s="70"/>
      <c r="EG113" s="70"/>
      <c r="EH113" s="70"/>
      <c r="EI113" s="70"/>
    </row>
    <row r="114" spans="1:139" s="47" customFormat="1" ht="39.75" customHeight="1">
      <c r="A114" s="50">
        <v>204</v>
      </c>
      <c r="B114" s="260">
        <v>42507</v>
      </c>
      <c r="C114" s="55">
        <v>42507.617361111108</v>
      </c>
      <c r="D114" s="261">
        <v>16644936</v>
      </c>
      <c r="E114" s="262" t="s">
        <v>546</v>
      </c>
      <c r="F114" s="47" t="b">
        <v>1</v>
      </c>
      <c r="H114" s="262" t="s">
        <v>441</v>
      </c>
      <c r="I114" s="260">
        <v>16320</v>
      </c>
      <c r="J114" s="270">
        <v>71.745205479452054</v>
      </c>
      <c r="K114" s="181">
        <v>860.84812623274161</v>
      </c>
      <c r="L114" s="262" t="s">
        <v>493</v>
      </c>
      <c r="M114" s="263" t="s">
        <v>547</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v>0</v>
      </c>
      <c r="AK114" s="323">
        <f t="shared" si="2"/>
        <v>0</v>
      </c>
      <c r="AL114" s="186" t="s">
        <v>548</v>
      </c>
      <c r="AM114" s="58">
        <v>42501</v>
      </c>
      <c r="AN114" s="52" t="s">
        <v>1775</v>
      </c>
      <c r="AO114" s="54">
        <v>42549</v>
      </c>
      <c r="AP114" s="50" t="s">
        <v>260</v>
      </c>
      <c r="AQ114" s="58">
        <v>42501</v>
      </c>
      <c r="AR114" s="52">
        <v>1</v>
      </c>
      <c r="AS114" s="52" t="s">
        <v>549</v>
      </c>
      <c r="AT114" s="323">
        <v>0</v>
      </c>
      <c r="AU114" s="52">
        <v>0</v>
      </c>
      <c r="AV114" s="52">
        <v>1</v>
      </c>
      <c r="AW114" s="52">
        <v>1</v>
      </c>
      <c r="AX114" s="265" t="s">
        <v>550</v>
      </c>
      <c r="AY114" s="265"/>
      <c r="AZ114" s="193" t="s">
        <v>1755</v>
      </c>
      <c r="BA114" s="47">
        <v>0</v>
      </c>
      <c r="BB114" s="69">
        <v>1</v>
      </c>
      <c r="BC114" s="69">
        <v>10</v>
      </c>
      <c r="BD114" s="69">
        <v>0</v>
      </c>
      <c r="BE114" s="69">
        <v>0</v>
      </c>
      <c r="BF114" s="234">
        <v>0</v>
      </c>
      <c r="BG114" s="766">
        <v>0</v>
      </c>
      <c r="BH114" s="766"/>
      <c r="BI114" s="223">
        <v>1</v>
      </c>
      <c r="BJ114" s="70"/>
      <c r="BK114" s="70">
        <v>1</v>
      </c>
      <c r="BL114" s="70" t="s">
        <v>1776</v>
      </c>
      <c r="BM114" s="70">
        <v>0</v>
      </c>
      <c r="BN114" s="70"/>
      <c r="BO114" s="70">
        <v>0</v>
      </c>
      <c r="BP114" s="70">
        <v>0</v>
      </c>
      <c r="BQ114" s="70">
        <v>0</v>
      </c>
      <c r="BR114" s="70">
        <v>0</v>
      </c>
      <c r="BS114" s="266">
        <v>0</v>
      </c>
      <c r="BT114" s="287">
        <v>0</v>
      </c>
      <c r="BU114" s="288"/>
      <c r="BV114" s="288">
        <v>0</v>
      </c>
      <c r="BW114" s="288">
        <v>0</v>
      </c>
      <c r="BX114" s="288">
        <v>0</v>
      </c>
      <c r="BY114" s="288"/>
      <c r="BZ114" s="288"/>
      <c r="CA114" s="70"/>
      <c r="CB114" s="77">
        <v>0</v>
      </c>
      <c r="CC114" s="77">
        <v>0</v>
      </c>
      <c r="CD114" s="77">
        <v>0</v>
      </c>
      <c r="CE114" s="77"/>
      <c r="CF114" s="77"/>
      <c r="CG114" s="70"/>
      <c r="CH114" s="70">
        <v>0</v>
      </c>
      <c r="CI114" s="70"/>
      <c r="CJ114" s="70">
        <v>0</v>
      </c>
      <c r="CK114" s="70">
        <v>0</v>
      </c>
      <c r="CL114" s="70">
        <v>0</v>
      </c>
      <c r="CM114" s="47">
        <v>56</v>
      </c>
      <c r="CN114" s="47">
        <v>38</v>
      </c>
      <c r="CP114" s="504">
        <v>31.2</v>
      </c>
      <c r="CQ114" s="504">
        <v>32.299999999999997</v>
      </c>
      <c r="CR114" s="260">
        <v>42501</v>
      </c>
      <c r="CS114" s="260">
        <v>42565</v>
      </c>
      <c r="CT114" s="78">
        <v>58</v>
      </c>
      <c r="CU114" s="260">
        <v>42735</v>
      </c>
      <c r="CV114" s="267">
        <v>1</v>
      </c>
      <c r="CW114" s="260">
        <v>42735</v>
      </c>
      <c r="CX114" s="267">
        <v>0</v>
      </c>
      <c r="CY114" s="267">
        <v>0</v>
      </c>
      <c r="CZ114" s="267">
        <v>1</v>
      </c>
      <c r="DA114" s="260" t="s">
        <v>551</v>
      </c>
      <c r="DB114" s="267">
        <v>0</v>
      </c>
      <c r="DC114" s="260"/>
      <c r="DD114" s="267">
        <v>0</v>
      </c>
      <c r="DE114" s="260"/>
      <c r="DF114" s="267">
        <v>0</v>
      </c>
      <c r="DG114" s="260"/>
      <c r="DH114" s="66" t="s">
        <v>416</v>
      </c>
      <c r="DI114" s="70"/>
      <c r="DJ114" s="262">
        <v>1</v>
      </c>
      <c r="DK114" s="262"/>
      <c r="DL114" s="288"/>
      <c r="DM114" s="288" t="b">
        <v>1</v>
      </c>
      <c r="DN114" s="289">
        <v>42735</v>
      </c>
      <c r="DO114" s="290" t="s">
        <v>552</v>
      </c>
      <c r="DP114" s="288"/>
      <c r="DQ114" s="70"/>
      <c r="DR114" s="70"/>
      <c r="DS114" s="70"/>
      <c r="DT114" s="70"/>
      <c r="DU114" s="70"/>
      <c r="DV114" s="70"/>
      <c r="DW114" s="70"/>
      <c r="DX114" s="70"/>
      <c r="DY114" s="70"/>
      <c r="DZ114" s="70"/>
      <c r="EA114" s="70"/>
      <c r="EB114" s="70"/>
      <c r="EC114" s="70"/>
      <c r="ED114" s="70"/>
      <c r="EE114" s="70"/>
      <c r="EF114" s="70"/>
      <c r="EG114" s="70"/>
      <c r="EH114" s="70"/>
      <c r="EI114" s="70"/>
    </row>
    <row r="115" spans="1:139" s="47" customFormat="1" ht="39.75" customHeight="1">
      <c r="A115" s="50">
        <v>208</v>
      </c>
      <c r="B115" s="260">
        <v>42467</v>
      </c>
      <c r="C115" s="55">
        <v>42467.3125</v>
      </c>
      <c r="D115" s="261">
        <v>4794829</v>
      </c>
      <c r="E115" s="262" t="s">
        <v>553</v>
      </c>
      <c r="F115" s="47" t="b">
        <v>1</v>
      </c>
      <c r="H115" s="262" t="s">
        <v>441</v>
      </c>
      <c r="I115" s="260">
        <v>31202</v>
      </c>
      <c r="J115" s="270">
        <v>30.863013698630137</v>
      </c>
      <c r="K115" s="181">
        <v>370.31558185404339</v>
      </c>
      <c r="L115" s="262" t="s">
        <v>442</v>
      </c>
      <c r="M115" s="263" t="s">
        <v>554</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267">
        <v>0</v>
      </c>
      <c r="AK115" s="323">
        <f t="shared" si="2"/>
        <v>0</v>
      </c>
      <c r="AL115" s="291"/>
      <c r="AM115" s="260">
        <v>42466</v>
      </c>
      <c r="AN115" s="262" t="s">
        <v>1777</v>
      </c>
      <c r="AO115" s="54">
        <v>42516</v>
      </c>
      <c r="AP115" s="262" t="s">
        <v>1778</v>
      </c>
      <c r="AQ115" s="260">
        <v>42466</v>
      </c>
      <c r="AR115" s="262">
        <v>0</v>
      </c>
      <c r="AS115" s="262"/>
      <c r="AT115" s="267">
        <v>0</v>
      </c>
      <c r="AU115" s="262">
        <v>0</v>
      </c>
      <c r="AV115" s="262">
        <v>0</v>
      </c>
      <c r="AW115" s="262">
        <v>1</v>
      </c>
      <c r="AX115" s="262" t="s">
        <v>555</v>
      </c>
      <c r="AY115" s="265"/>
      <c r="AZ115" s="193" t="s">
        <v>1755</v>
      </c>
      <c r="BA115" s="47">
        <v>0</v>
      </c>
      <c r="BB115" s="69">
        <v>1</v>
      </c>
      <c r="BC115" s="69">
        <v>20</v>
      </c>
      <c r="BD115" s="69">
        <v>0</v>
      </c>
      <c r="BE115" s="69">
        <v>0</v>
      </c>
      <c r="BF115" s="234">
        <v>0</v>
      </c>
      <c r="BG115" s="766">
        <v>0</v>
      </c>
      <c r="BH115" s="766"/>
      <c r="BI115" s="223">
        <v>0</v>
      </c>
      <c r="BJ115" s="70"/>
      <c r="BK115" s="70">
        <v>0</v>
      </c>
      <c r="BL115" s="70"/>
      <c r="BM115" s="70">
        <v>0</v>
      </c>
      <c r="BN115" s="70"/>
      <c r="BO115" s="70">
        <v>0</v>
      </c>
      <c r="BP115" s="70">
        <v>0</v>
      </c>
      <c r="BQ115" s="70">
        <v>0</v>
      </c>
      <c r="BR115" s="70">
        <v>0</v>
      </c>
      <c r="BS115" s="266">
        <v>0</v>
      </c>
      <c r="BT115" s="252">
        <v>1</v>
      </c>
      <c r="BU115" s="253" t="s">
        <v>1780</v>
      </c>
      <c r="BV115" s="253">
        <v>0</v>
      </c>
      <c r="BW115" s="253">
        <v>0</v>
      </c>
      <c r="BX115" s="288">
        <v>0</v>
      </c>
      <c r="BY115" s="260"/>
      <c r="BZ115" s="260"/>
      <c r="CA115" s="260"/>
      <c r="CB115" s="70">
        <v>0</v>
      </c>
      <c r="CC115" s="70">
        <v>0</v>
      </c>
      <c r="CD115" s="70">
        <v>0</v>
      </c>
      <c r="CE115" s="70"/>
      <c r="CF115" s="70"/>
      <c r="CG115" s="70"/>
      <c r="CH115" s="70">
        <v>0</v>
      </c>
      <c r="CI115" s="70"/>
      <c r="CJ115" s="70">
        <v>0</v>
      </c>
      <c r="CK115" s="70">
        <v>0</v>
      </c>
      <c r="CL115" s="70">
        <v>0</v>
      </c>
      <c r="CM115" s="47">
        <v>120</v>
      </c>
      <c r="CN115" s="47">
        <v>102</v>
      </c>
      <c r="CP115" s="504">
        <v>30.5</v>
      </c>
      <c r="CQ115" s="504">
        <v>31.4</v>
      </c>
      <c r="CR115" s="260">
        <v>42466</v>
      </c>
      <c r="CS115" s="260">
        <v>42479</v>
      </c>
      <c r="CT115" s="78">
        <v>12</v>
      </c>
      <c r="CU115" s="79">
        <v>44179</v>
      </c>
      <c r="CV115" s="267">
        <v>0</v>
      </c>
      <c r="CW115" s="260"/>
      <c r="CX115" s="267">
        <v>0</v>
      </c>
      <c r="CY115" s="267">
        <v>0</v>
      </c>
      <c r="CZ115" s="267">
        <v>0</v>
      </c>
      <c r="DA115" s="260"/>
      <c r="DB115" s="267">
        <v>0</v>
      </c>
      <c r="DC115" s="260"/>
      <c r="DD115" s="267">
        <v>0</v>
      </c>
      <c r="DE115" s="260"/>
      <c r="DF115" s="267">
        <v>0</v>
      </c>
      <c r="DG115" s="260"/>
      <c r="DH115" s="260"/>
      <c r="DI115" s="70"/>
      <c r="DJ115" s="262">
        <v>0</v>
      </c>
      <c r="DK115" s="262"/>
      <c r="DL115" s="262"/>
      <c r="DM115" s="262"/>
      <c r="DN115" s="262"/>
      <c r="DO115" s="262"/>
      <c r="DP115" s="288"/>
      <c r="DQ115" s="70"/>
      <c r="DR115" s="70"/>
      <c r="DS115" s="70"/>
      <c r="DT115" s="70"/>
      <c r="DU115" s="70"/>
      <c r="DV115" s="70"/>
      <c r="DW115" s="70"/>
      <c r="DX115" s="70"/>
      <c r="DY115" s="70"/>
      <c r="DZ115" s="70"/>
      <c r="EA115" s="70"/>
      <c r="EB115" s="70"/>
      <c r="EC115" s="70"/>
      <c r="ED115" s="70"/>
      <c r="EE115" s="70"/>
      <c r="EF115" s="70"/>
      <c r="EG115" s="70"/>
      <c r="EH115" s="70"/>
      <c r="EI115" s="70"/>
    </row>
    <row r="116" spans="1:139" s="47" customFormat="1" ht="39.75" customHeight="1">
      <c r="A116" s="50">
        <v>209</v>
      </c>
      <c r="B116" s="260">
        <v>42465</v>
      </c>
      <c r="C116" s="55">
        <v>42465.309027777781</v>
      </c>
      <c r="D116" s="261">
        <v>35808702</v>
      </c>
      <c r="E116" s="262" t="s">
        <v>556</v>
      </c>
      <c r="F116" s="47" t="b">
        <v>1</v>
      </c>
      <c r="H116" s="262" t="s">
        <v>418</v>
      </c>
      <c r="I116" s="260">
        <v>27940</v>
      </c>
      <c r="J116" s="255">
        <v>39.794520547945204</v>
      </c>
      <c r="K116" s="181">
        <v>477.48191978961205</v>
      </c>
      <c r="L116" s="262" t="s">
        <v>419</v>
      </c>
      <c r="M116" s="263" t="s">
        <v>557</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7">
        <v>0</v>
      </c>
      <c r="AK116" s="323">
        <f t="shared" si="2"/>
        <v>0</v>
      </c>
      <c r="AL116" s="263"/>
      <c r="AM116" s="264">
        <v>42462</v>
      </c>
      <c r="AN116" s="265" t="s">
        <v>1781</v>
      </c>
      <c r="AO116" s="54">
        <v>42493</v>
      </c>
      <c r="AP116" s="262" t="s">
        <v>1782</v>
      </c>
      <c r="AQ116" s="264">
        <v>42462</v>
      </c>
      <c r="AR116" s="265">
        <v>0</v>
      </c>
      <c r="AS116" s="265"/>
      <c r="AT116" s="327">
        <v>0</v>
      </c>
      <c r="AU116" s="265">
        <v>1</v>
      </c>
      <c r="AV116" s="265">
        <v>0</v>
      </c>
      <c r="AW116" s="265">
        <v>0</v>
      </c>
      <c r="AX116" s="262" t="s">
        <v>558</v>
      </c>
      <c r="AY116" s="265"/>
      <c r="AZ116" s="193" t="s">
        <v>1783</v>
      </c>
      <c r="BA116" s="47">
        <v>0</v>
      </c>
      <c r="BB116" s="69">
        <v>1</v>
      </c>
      <c r="BC116" s="69"/>
      <c r="BD116" s="69">
        <v>0</v>
      </c>
      <c r="BE116" s="69">
        <v>0</v>
      </c>
      <c r="BF116" s="234">
        <v>1</v>
      </c>
      <c r="BG116" s="766">
        <v>0</v>
      </c>
      <c r="BH116" s="766"/>
      <c r="BI116" s="223">
        <v>0</v>
      </c>
      <c r="BJ116" s="70"/>
      <c r="BK116" s="70">
        <v>0</v>
      </c>
      <c r="BL116" s="70"/>
      <c r="BM116" s="70">
        <v>0</v>
      </c>
      <c r="BN116" s="70"/>
      <c r="BO116" s="70">
        <v>0</v>
      </c>
      <c r="BP116" s="70">
        <v>0</v>
      </c>
      <c r="BQ116" s="70">
        <v>0</v>
      </c>
      <c r="BR116" s="70">
        <v>0</v>
      </c>
      <c r="BS116" s="266">
        <v>0</v>
      </c>
      <c r="BT116" s="272">
        <v>1</v>
      </c>
      <c r="BU116" s="262" t="s">
        <v>1784</v>
      </c>
      <c r="BV116" s="262">
        <v>0</v>
      </c>
      <c r="BW116" s="262">
        <v>0</v>
      </c>
      <c r="BX116" s="262">
        <v>0</v>
      </c>
      <c r="BY116" s="262"/>
      <c r="BZ116" s="262"/>
      <c r="CA116" s="262"/>
      <c r="CB116" s="70">
        <v>0</v>
      </c>
      <c r="CC116" s="70">
        <v>0</v>
      </c>
      <c r="CD116" s="70">
        <v>0</v>
      </c>
      <c r="CE116" s="70"/>
      <c r="CF116" s="70"/>
      <c r="CG116" s="70"/>
      <c r="CH116" s="70">
        <v>0</v>
      </c>
      <c r="CI116" s="70"/>
      <c r="CJ116" s="70">
        <v>0</v>
      </c>
      <c r="CK116" s="70">
        <v>0</v>
      </c>
      <c r="CL116" s="70">
        <v>0</v>
      </c>
      <c r="CM116" s="47">
        <v>123</v>
      </c>
      <c r="CN116" s="47">
        <v>93</v>
      </c>
      <c r="CP116" s="504">
        <v>31</v>
      </c>
      <c r="CQ116" s="504">
        <v>32.4</v>
      </c>
      <c r="CR116" s="260">
        <v>42461</v>
      </c>
      <c r="CS116" s="260">
        <v>42481</v>
      </c>
      <c r="CT116" s="78">
        <v>16</v>
      </c>
      <c r="CU116" s="79">
        <v>44201</v>
      </c>
      <c r="CV116" s="267">
        <v>0</v>
      </c>
      <c r="CW116" s="260"/>
      <c r="CX116" s="267">
        <v>0</v>
      </c>
      <c r="CY116" s="267">
        <v>0</v>
      </c>
      <c r="CZ116" s="267">
        <v>0</v>
      </c>
      <c r="DA116" s="260"/>
      <c r="DB116" s="267">
        <v>0</v>
      </c>
      <c r="DC116" s="260"/>
      <c r="DD116" s="267">
        <v>0</v>
      </c>
      <c r="DE116" s="260"/>
      <c r="DF116" s="267">
        <v>0</v>
      </c>
      <c r="DG116" s="260"/>
      <c r="DH116" s="260"/>
      <c r="DI116" s="70"/>
      <c r="DJ116" s="262">
        <v>0</v>
      </c>
      <c r="DK116" s="262"/>
      <c r="DL116" s="262"/>
      <c r="DM116" s="262"/>
      <c r="DN116" s="262"/>
      <c r="DO116" s="262"/>
      <c r="DP116" s="288"/>
      <c r="DQ116" s="70"/>
      <c r="DR116" s="70"/>
      <c r="DS116" s="70"/>
      <c r="DT116" s="70"/>
      <c r="DU116" s="70"/>
      <c r="DV116" s="70"/>
      <c r="DW116" s="70"/>
      <c r="DX116" s="70"/>
      <c r="DY116" s="70"/>
      <c r="DZ116" s="70"/>
      <c r="EA116" s="70"/>
      <c r="EB116" s="70"/>
      <c r="EC116" s="70"/>
      <c r="ED116" s="70"/>
      <c r="EE116" s="70"/>
      <c r="EF116" s="70"/>
      <c r="EG116" s="70"/>
      <c r="EH116" s="70"/>
      <c r="EI116" s="70"/>
    </row>
    <row r="117" spans="1:139" s="47" customFormat="1" ht="39.75" customHeight="1">
      <c r="A117" s="50">
        <v>210</v>
      </c>
      <c r="B117" s="260">
        <v>42448</v>
      </c>
      <c r="C117" s="55">
        <v>42448.375</v>
      </c>
      <c r="D117" s="261">
        <v>35810022</v>
      </c>
      <c r="E117" s="262" t="s">
        <v>559</v>
      </c>
      <c r="F117" s="47" t="b">
        <v>1</v>
      </c>
      <c r="H117" s="262" t="s">
        <v>441</v>
      </c>
      <c r="I117" s="260">
        <v>15080</v>
      </c>
      <c r="J117" s="270">
        <v>74.980821917808214</v>
      </c>
      <c r="K117" s="181">
        <v>899.67126890203804</v>
      </c>
      <c r="L117" s="262" t="s">
        <v>419</v>
      </c>
      <c r="M117" s="263" t="s">
        <v>560</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7">
        <v>0</v>
      </c>
      <c r="AK117" s="323">
        <f t="shared" si="2"/>
        <v>0</v>
      </c>
      <c r="AL117" s="263"/>
      <c r="AM117" s="264">
        <v>42447</v>
      </c>
      <c r="AN117" s="265" t="s">
        <v>1592</v>
      </c>
      <c r="AO117" s="54">
        <v>42476</v>
      </c>
      <c r="AP117" s="262" t="s">
        <v>1785</v>
      </c>
      <c r="AQ117" s="264">
        <v>42447</v>
      </c>
      <c r="AR117" s="265">
        <v>0</v>
      </c>
      <c r="AS117" s="265"/>
      <c r="AT117" s="327">
        <v>0</v>
      </c>
      <c r="AU117" s="265">
        <v>0</v>
      </c>
      <c r="AV117" s="265">
        <v>0</v>
      </c>
      <c r="AW117" s="265">
        <v>1</v>
      </c>
      <c r="AX117" s="262" t="s">
        <v>561</v>
      </c>
      <c r="AY117" s="265"/>
      <c r="AZ117" s="193" t="s">
        <v>1537</v>
      </c>
      <c r="BA117" s="47">
        <v>0</v>
      </c>
      <c r="BB117" s="69">
        <v>1</v>
      </c>
      <c r="BC117" s="69"/>
      <c r="BD117" s="69">
        <v>0</v>
      </c>
      <c r="BE117" s="69">
        <v>0</v>
      </c>
      <c r="BF117" s="234">
        <v>0</v>
      </c>
      <c r="BG117" s="766">
        <v>0</v>
      </c>
      <c r="BH117" s="766"/>
      <c r="BI117" s="223">
        <v>0</v>
      </c>
      <c r="BJ117" s="70"/>
      <c r="BK117" s="70">
        <v>0</v>
      </c>
      <c r="BL117" s="70"/>
      <c r="BM117" s="70">
        <v>0</v>
      </c>
      <c r="BN117" s="70"/>
      <c r="BO117" s="70">
        <v>0</v>
      </c>
      <c r="BP117" s="70">
        <v>0</v>
      </c>
      <c r="BQ117" s="70">
        <v>0</v>
      </c>
      <c r="BR117" s="70">
        <v>0</v>
      </c>
      <c r="BS117" s="266">
        <v>0</v>
      </c>
      <c r="BT117" s="252">
        <v>1</v>
      </c>
      <c r="BU117" s="253" t="s">
        <v>1786</v>
      </c>
      <c r="BV117" s="253">
        <v>0</v>
      </c>
      <c r="BW117" s="253">
        <v>0</v>
      </c>
      <c r="BX117" s="288">
        <v>0</v>
      </c>
      <c r="BY117" s="288"/>
      <c r="BZ117" s="288"/>
      <c r="CA117" s="288"/>
      <c r="CB117" s="70">
        <v>0</v>
      </c>
      <c r="CC117" s="70">
        <v>0</v>
      </c>
      <c r="CD117" s="70">
        <v>0</v>
      </c>
      <c r="CE117" s="70"/>
      <c r="CF117" s="70"/>
      <c r="CG117" s="70"/>
      <c r="CH117" s="70">
        <v>0</v>
      </c>
      <c r="CI117" s="70"/>
      <c r="CJ117" s="70">
        <v>0</v>
      </c>
      <c r="CK117" s="70">
        <v>0</v>
      </c>
      <c r="CL117" s="70">
        <v>0</v>
      </c>
      <c r="CM117" s="47">
        <v>117</v>
      </c>
      <c r="CN117" s="47">
        <v>84</v>
      </c>
      <c r="CP117" s="504">
        <v>28.9</v>
      </c>
      <c r="CQ117" s="504">
        <v>30.7</v>
      </c>
      <c r="CR117" s="260">
        <v>42447</v>
      </c>
      <c r="CS117" s="260">
        <v>42460</v>
      </c>
      <c r="CT117" s="78">
        <v>12</v>
      </c>
      <c r="CU117" s="79">
        <v>42712</v>
      </c>
      <c r="CV117" s="267">
        <v>0</v>
      </c>
      <c r="CW117" s="260"/>
      <c r="CX117" s="267">
        <v>0</v>
      </c>
      <c r="CY117" s="267">
        <v>0</v>
      </c>
      <c r="CZ117" s="267">
        <v>0</v>
      </c>
      <c r="DA117" s="260"/>
      <c r="DB117" s="267">
        <v>0</v>
      </c>
      <c r="DC117" s="260"/>
      <c r="DD117" s="267">
        <v>0</v>
      </c>
      <c r="DE117" s="260"/>
      <c r="DF117" s="267">
        <v>0</v>
      </c>
      <c r="DG117" s="260"/>
      <c r="DH117" s="260"/>
      <c r="DI117" s="70"/>
      <c r="DJ117" s="262">
        <v>0</v>
      </c>
      <c r="DK117" s="262"/>
      <c r="DL117" s="288"/>
      <c r="DM117" s="288"/>
      <c r="DN117" s="288"/>
      <c r="DO117" s="288"/>
      <c r="DP117" s="288"/>
      <c r="DQ117" s="70"/>
      <c r="DR117" s="70"/>
      <c r="DS117" s="70"/>
      <c r="DT117" s="70"/>
      <c r="DU117" s="70"/>
      <c r="DV117" s="70"/>
      <c r="DW117" s="70"/>
      <c r="DX117" s="70"/>
      <c r="DY117" s="70"/>
      <c r="DZ117" s="70"/>
      <c r="EA117" s="70"/>
      <c r="EB117" s="70"/>
      <c r="EC117" s="70"/>
      <c r="ED117" s="70"/>
      <c r="EE117" s="70"/>
      <c r="EF117" s="70"/>
      <c r="EG117" s="70"/>
      <c r="EH117" s="70"/>
      <c r="EI117" s="70"/>
    </row>
    <row r="118" spans="1:139" s="47" customFormat="1" ht="39.75" customHeight="1">
      <c r="A118" s="50">
        <v>213</v>
      </c>
      <c r="B118" s="260">
        <v>42440</v>
      </c>
      <c r="C118" s="55">
        <v>42440.328472222223</v>
      </c>
      <c r="D118" s="261">
        <v>35789931</v>
      </c>
      <c r="E118" s="262" t="s">
        <v>562</v>
      </c>
      <c r="F118" s="47" t="b">
        <v>1</v>
      </c>
      <c r="H118" s="262" t="s">
        <v>418</v>
      </c>
      <c r="I118" s="260">
        <v>30523</v>
      </c>
      <c r="J118" s="255">
        <v>32.649315068493152</v>
      </c>
      <c r="K118" s="181">
        <v>391.74884944115712</v>
      </c>
      <c r="L118" s="262" t="s">
        <v>419</v>
      </c>
      <c r="M118" s="263" t="s">
        <v>563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7">
        <v>0</v>
      </c>
      <c r="AK118" s="323">
        <f t="shared" si="2"/>
        <v>0</v>
      </c>
      <c r="AL118" s="263"/>
      <c r="AM118" s="264">
        <v>42438</v>
      </c>
      <c r="AN118" s="265" t="s">
        <v>1787</v>
      </c>
      <c r="AO118" s="54">
        <v>42468</v>
      </c>
      <c r="AP118" s="262" t="s">
        <v>1788</v>
      </c>
      <c r="AQ118" s="264">
        <v>42438</v>
      </c>
      <c r="AR118" s="265">
        <v>0</v>
      </c>
      <c r="AS118" s="265"/>
      <c r="AT118" s="327">
        <v>0</v>
      </c>
      <c r="AU118" s="265">
        <v>1</v>
      </c>
      <c r="AV118" s="265">
        <v>0</v>
      </c>
      <c r="AW118" s="265">
        <v>1</v>
      </c>
      <c r="AX118" s="262" t="s">
        <v>558</v>
      </c>
      <c r="AY118" s="265"/>
      <c r="AZ118" s="193" t="s">
        <v>1789</v>
      </c>
      <c r="BA118" s="47">
        <v>0</v>
      </c>
      <c r="BB118" s="69">
        <v>1</v>
      </c>
      <c r="BC118" s="69"/>
      <c r="BD118" s="69">
        <v>1</v>
      </c>
      <c r="BE118" s="69">
        <v>1</v>
      </c>
      <c r="BF118" s="234">
        <v>0</v>
      </c>
      <c r="BG118" s="766">
        <v>0</v>
      </c>
      <c r="BH118" s="766"/>
      <c r="BI118" s="223">
        <v>0</v>
      </c>
      <c r="BJ118" s="70"/>
      <c r="BK118" s="70">
        <v>0</v>
      </c>
      <c r="BL118" s="70"/>
      <c r="BM118" s="70">
        <v>0</v>
      </c>
      <c r="BN118" s="70"/>
      <c r="BO118" s="70">
        <v>0</v>
      </c>
      <c r="BP118" s="70">
        <v>0</v>
      </c>
      <c r="BQ118" s="70">
        <v>0</v>
      </c>
      <c r="BR118" s="70">
        <v>0</v>
      </c>
      <c r="BS118" s="266">
        <v>0</v>
      </c>
      <c r="BT118" s="272">
        <v>1</v>
      </c>
      <c r="BU118" s="262" t="s">
        <v>1790</v>
      </c>
      <c r="BV118" s="262">
        <v>0</v>
      </c>
      <c r="BW118" s="262">
        <v>0</v>
      </c>
      <c r="BX118" s="262">
        <v>0</v>
      </c>
      <c r="BY118" s="262"/>
      <c r="BZ118" s="262"/>
      <c r="CA118" s="262"/>
      <c r="CB118" s="70">
        <v>0</v>
      </c>
      <c r="CC118" s="70">
        <v>0</v>
      </c>
      <c r="CD118" s="70">
        <v>0</v>
      </c>
      <c r="CE118" s="70"/>
      <c r="CF118" s="70"/>
      <c r="CG118" s="70"/>
      <c r="CH118" s="70">
        <v>0</v>
      </c>
      <c r="CI118" s="70"/>
      <c r="CJ118" s="70">
        <v>0</v>
      </c>
      <c r="CK118" s="70">
        <v>0</v>
      </c>
      <c r="CL118" s="70">
        <v>0</v>
      </c>
      <c r="CM118" s="47">
        <v>114</v>
      </c>
      <c r="CN118" s="47">
        <v>91</v>
      </c>
      <c r="CP118" s="504">
        <v>28.2</v>
      </c>
      <c r="CQ118" s="504">
        <v>30.5</v>
      </c>
      <c r="CR118" s="260">
        <v>42438</v>
      </c>
      <c r="CS118" s="260">
        <v>42468</v>
      </c>
      <c r="CT118" s="78">
        <v>28</v>
      </c>
      <c r="CU118" s="79">
        <v>42740</v>
      </c>
      <c r="CV118" s="267">
        <v>0</v>
      </c>
      <c r="CW118" s="260"/>
      <c r="CX118" s="267">
        <v>0</v>
      </c>
      <c r="CY118" s="267">
        <v>0</v>
      </c>
      <c r="CZ118" s="267">
        <v>0</v>
      </c>
      <c r="DA118" s="260"/>
      <c r="DB118" s="267">
        <v>0</v>
      </c>
      <c r="DC118" s="260"/>
      <c r="DD118" s="267">
        <v>0</v>
      </c>
      <c r="DE118" s="260"/>
      <c r="DF118" s="267">
        <v>0</v>
      </c>
      <c r="DG118" s="260"/>
      <c r="DH118" s="260"/>
      <c r="DI118" s="70"/>
      <c r="DJ118" s="262">
        <v>0</v>
      </c>
      <c r="DK118" s="262"/>
      <c r="DL118" s="262"/>
      <c r="DM118" s="262"/>
      <c r="DN118" s="262"/>
      <c r="DO118" s="262"/>
      <c r="DP118" s="288"/>
      <c r="DQ118" s="70"/>
      <c r="DR118" s="70"/>
      <c r="DS118" s="70"/>
      <c r="DT118" s="70"/>
      <c r="DU118" s="70"/>
      <c r="DV118" s="70"/>
      <c r="DW118" s="70"/>
      <c r="DX118" s="70"/>
      <c r="DY118" s="70"/>
      <c r="DZ118" s="70"/>
      <c r="EA118" s="70"/>
      <c r="EB118" s="70"/>
      <c r="EC118" s="70"/>
      <c r="ED118" s="70"/>
      <c r="EE118" s="70"/>
      <c r="EF118" s="70"/>
      <c r="EG118" s="70"/>
      <c r="EH118" s="70"/>
      <c r="EI118" s="70"/>
    </row>
    <row r="119" spans="1:139" s="196" customFormat="1" ht="39.75" customHeight="1">
      <c r="A119" s="90">
        <v>214</v>
      </c>
      <c r="B119" s="273">
        <v>42437</v>
      </c>
      <c r="C119" s="194">
        <v>42437.322916666664</v>
      </c>
      <c r="D119" s="274">
        <v>35725416</v>
      </c>
      <c r="E119" s="275" t="s">
        <v>564</v>
      </c>
      <c r="F119" s="196" t="s">
        <v>1796</v>
      </c>
      <c r="G119" s="196" t="s">
        <v>1730</v>
      </c>
      <c r="H119" s="275" t="s">
        <v>441</v>
      </c>
      <c r="I119" s="273">
        <v>31310</v>
      </c>
      <c r="J119" s="292">
        <v>30.484931506849314</v>
      </c>
      <c r="K119" s="197">
        <v>365.77909270216958</v>
      </c>
      <c r="L119" s="275" t="s">
        <v>419</v>
      </c>
      <c r="M119" s="277" t="s">
        <v>565</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9"/>
      <c r="AK119" s="326">
        <f t="shared" si="2"/>
        <v>0</v>
      </c>
      <c r="AL119" s="277" t="s">
        <v>1793</v>
      </c>
      <c r="AM119" s="293">
        <v>42416</v>
      </c>
      <c r="AN119" s="279" t="s">
        <v>1791</v>
      </c>
      <c r="AO119" s="88">
        <v>42465</v>
      </c>
      <c r="AP119" s="275" t="s">
        <v>1792</v>
      </c>
      <c r="AQ119" s="293">
        <v>42411</v>
      </c>
      <c r="AR119" s="279">
        <v>1</v>
      </c>
      <c r="AS119" s="279" t="s">
        <v>1794</v>
      </c>
      <c r="AT119" s="329">
        <v>2</v>
      </c>
      <c r="AU119" s="279">
        <v>0</v>
      </c>
      <c r="AV119" s="279">
        <v>0</v>
      </c>
      <c r="AW119" s="279">
        <v>1</v>
      </c>
      <c r="AX119" s="275" t="s">
        <v>566</v>
      </c>
      <c r="AY119" s="279"/>
      <c r="AZ119" s="202"/>
      <c r="BA119" s="196">
        <v>1</v>
      </c>
      <c r="BB119" s="203">
        <v>1</v>
      </c>
      <c r="BC119" s="203"/>
      <c r="BD119" s="203"/>
      <c r="BE119" s="203"/>
      <c r="BF119" s="236"/>
      <c r="BG119" s="768"/>
      <c r="BH119" s="768"/>
      <c r="BI119" s="226"/>
      <c r="BJ119" s="201"/>
      <c r="BK119" s="201"/>
      <c r="BL119" s="201"/>
      <c r="BM119" s="201"/>
      <c r="BN119" s="201"/>
      <c r="BO119" s="201"/>
      <c r="BP119" s="201"/>
      <c r="BQ119" s="201"/>
      <c r="BR119" s="201"/>
      <c r="BS119" s="281"/>
      <c r="BT119" s="294" t="s">
        <v>245</v>
      </c>
      <c r="BU119" s="295"/>
      <c r="BV119" s="295"/>
      <c r="BW119" s="295"/>
      <c r="BX119" s="296"/>
      <c r="BY119" s="296"/>
      <c r="BZ119" s="296"/>
      <c r="CA119" s="296"/>
      <c r="CB119" s="201"/>
      <c r="CC119" s="201"/>
      <c r="CD119" s="201"/>
      <c r="CE119" s="201"/>
      <c r="CF119" s="201"/>
      <c r="CG119" s="201"/>
      <c r="CH119" s="201"/>
      <c r="CI119" s="201"/>
      <c r="CJ119" s="201"/>
      <c r="CK119" s="201"/>
      <c r="CL119" s="201"/>
      <c r="CM119" s="196">
        <v>132</v>
      </c>
      <c r="CN119" s="196">
        <v>106</v>
      </c>
      <c r="CP119" s="506">
        <v>29.2</v>
      </c>
      <c r="CQ119" s="506">
        <v>30.6</v>
      </c>
      <c r="CR119" s="273">
        <v>42431</v>
      </c>
      <c r="CS119" s="273">
        <v>42454</v>
      </c>
      <c r="CT119" s="205">
        <v>17</v>
      </c>
      <c r="CU119" s="206"/>
      <c r="CV119" s="283"/>
      <c r="CW119" s="273"/>
      <c r="CX119" s="283"/>
      <c r="CY119" s="283"/>
      <c r="CZ119" s="283"/>
      <c r="DA119" s="273"/>
      <c r="DB119" s="283"/>
      <c r="DC119" s="273"/>
      <c r="DD119" s="283"/>
      <c r="DE119" s="273"/>
      <c r="DF119" s="283"/>
      <c r="DG119" s="273"/>
      <c r="DH119" s="273"/>
      <c r="DI119" s="201"/>
      <c r="DJ119" s="275">
        <v>0</v>
      </c>
      <c r="DK119" s="275"/>
      <c r="DL119" s="296"/>
      <c r="DM119" s="296"/>
      <c r="DN119" s="296"/>
      <c r="DO119" s="296"/>
      <c r="DP119" s="296"/>
      <c r="DQ119" s="201"/>
      <c r="DR119" s="201"/>
      <c r="DS119" s="201"/>
      <c r="DT119" s="201"/>
      <c r="DU119" s="201"/>
      <c r="DV119" s="201"/>
      <c r="DW119" s="201"/>
      <c r="DX119" s="201"/>
      <c r="DY119" s="201"/>
      <c r="DZ119" s="201"/>
      <c r="EA119" s="201"/>
      <c r="EB119" s="201"/>
      <c r="EC119" s="201"/>
      <c r="ED119" s="201"/>
      <c r="EE119" s="201"/>
      <c r="EF119" s="201"/>
      <c r="EG119" s="201"/>
      <c r="EH119" s="201"/>
      <c r="EI119" s="201"/>
    </row>
    <row r="120" spans="1:139" s="48" customFormat="1" ht="39.75" customHeight="1">
      <c r="A120" s="60">
        <v>215</v>
      </c>
      <c r="B120" s="95">
        <v>42432</v>
      </c>
      <c r="C120" s="62">
        <v>42432.307638888888</v>
      </c>
      <c r="D120" s="96">
        <v>6388473</v>
      </c>
      <c r="E120" s="97" t="s">
        <v>567</v>
      </c>
      <c r="F120" s="48" t="b">
        <v>0</v>
      </c>
      <c r="G120" s="48" t="s">
        <v>1674</v>
      </c>
      <c r="H120" s="97" t="s">
        <v>441</v>
      </c>
      <c r="I120" s="95">
        <v>14442</v>
      </c>
      <c r="J120" s="297">
        <v>76.68493150684931</v>
      </c>
      <c r="K120" s="85">
        <v>920.11834319526622</v>
      </c>
      <c r="L120" s="97" t="s">
        <v>419</v>
      </c>
      <c r="M120" s="268" t="s">
        <v>568</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8"/>
      <c r="AK120" s="324">
        <f t="shared" si="2"/>
        <v>1</v>
      </c>
      <c r="AL120" s="268"/>
      <c r="AM120" s="269">
        <v>42424</v>
      </c>
      <c r="AN120" s="100" t="s">
        <v>1797</v>
      </c>
      <c r="AO120" s="61"/>
      <c r="AP120" s="97" t="s">
        <v>1798</v>
      </c>
      <c r="AQ120" s="269">
        <v>42423</v>
      </c>
      <c r="AR120" s="100">
        <v>0</v>
      </c>
      <c r="AS120" s="100"/>
      <c r="AT120" s="328">
        <v>0</v>
      </c>
      <c r="AU120" s="100">
        <v>1</v>
      </c>
      <c r="AV120" s="100">
        <v>0</v>
      </c>
      <c r="AW120" s="100">
        <v>0</v>
      </c>
      <c r="AX120" s="97" t="s">
        <v>569</v>
      </c>
      <c r="AY120" s="97">
        <v>1</v>
      </c>
      <c r="AZ120" s="91"/>
      <c r="BB120" s="82"/>
      <c r="BC120" s="82"/>
      <c r="BD120" s="82"/>
      <c r="BE120" s="82"/>
      <c r="BF120" s="235"/>
      <c r="BG120" s="767"/>
      <c r="BH120" s="767"/>
      <c r="BI120" s="224"/>
      <c r="BJ120" s="71"/>
      <c r="BK120" s="71"/>
      <c r="BL120" s="71"/>
      <c r="BM120" s="71"/>
      <c r="BN120" s="71"/>
      <c r="BO120" s="71"/>
      <c r="BP120" s="71"/>
      <c r="BQ120" s="71"/>
      <c r="BR120" s="71"/>
      <c r="BS120" s="246"/>
      <c r="BT120" s="239" t="s">
        <v>245</v>
      </c>
      <c r="BU120" s="118"/>
      <c r="BV120" s="118"/>
      <c r="BW120" s="118"/>
      <c r="BX120" s="298"/>
      <c r="BY120" s="298"/>
      <c r="BZ120" s="298"/>
      <c r="CA120" s="298"/>
      <c r="CB120" s="71"/>
      <c r="CC120" s="71"/>
      <c r="CD120" s="71"/>
      <c r="CE120" s="71"/>
      <c r="CF120" s="71"/>
      <c r="CG120" s="71"/>
      <c r="CH120" s="71"/>
      <c r="CI120" s="71"/>
      <c r="CJ120" s="71"/>
      <c r="CK120" s="71"/>
      <c r="CL120" s="71"/>
      <c r="CM120" s="48">
        <v>85</v>
      </c>
      <c r="CN120" s="48">
        <v>57</v>
      </c>
      <c r="CP120" s="505">
        <v>30.2</v>
      </c>
      <c r="CQ120" s="505">
        <v>32.4</v>
      </c>
      <c r="CR120" s="95">
        <v>42424</v>
      </c>
      <c r="CS120" s="95">
        <v>42440</v>
      </c>
      <c r="CT120" s="83">
        <v>8</v>
      </c>
      <c r="CU120" s="84"/>
      <c r="CV120" s="101"/>
      <c r="CW120" s="95"/>
      <c r="CX120" s="101"/>
      <c r="CY120" s="101"/>
      <c r="CZ120" s="101"/>
      <c r="DA120" s="95"/>
      <c r="DB120" s="101"/>
      <c r="DC120" s="95"/>
      <c r="DD120" s="101"/>
      <c r="DE120" s="95"/>
      <c r="DF120" s="101"/>
      <c r="DG120" s="95"/>
      <c r="DH120" s="95"/>
      <c r="DI120" s="71"/>
      <c r="DJ120" s="97">
        <v>0</v>
      </c>
      <c r="DK120" s="97"/>
      <c r="DL120" s="97"/>
      <c r="DM120" s="97"/>
      <c r="DN120" s="97"/>
      <c r="DO120" s="97"/>
      <c r="DP120" s="298"/>
      <c r="DQ120" s="71"/>
      <c r="DR120" s="71"/>
      <c r="DS120" s="71"/>
      <c r="DT120" s="71"/>
      <c r="DU120" s="71"/>
      <c r="DV120" s="71"/>
      <c r="DW120" s="71"/>
      <c r="DX120" s="71"/>
      <c r="DY120" s="71"/>
      <c r="DZ120" s="71"/>
      <c r="EA120" s="71"/>
      <c r="EB120" s="71"/>
      <c r="EC120" s="71"/>
      <c r="ED120" s="71"/>
      <c r="EE120" s="71"/>
      <c r="EF120" s="71"/>
      <c r="EG120" s="71"/>
      <c r="EH120" s="71"/>
      <c r="EI120" s="71"/>
    </row>
    <row r="121" spans="1:139" s="196" customFormat="1" ht="39.75" customHeight="1">
      <c r="A121" s="90">
        <v>216</v>
      </c>
      <c r="B121" s="273">
        <v>42425</v>
      </c>
      <c r="C121" s="194">
        <v>42425.311111111114</v>
      </c>
      <c r="D121" s="274">
        <v>32693037</v>
      </c>
      <c r="E121" s="275" t="s">
        <v>570</v>
      </c>
      <c r="F121" s="196" t="s">
        <v>1796</v>
      </c>
      <c r="G121" s="196" t="s">
        <v>1730</v>
      </c>
      <c r="H121" s="275" t="s">
        <v>418</v>
      </c>
      <c r="I121" s="273">
        <v>18827</v>
      </c>
      <c r="J121" s="292">
        <v>64.652054794520552</v>
      </c>
      <c r="K121" s="197">
        <v>775.73964497041413</v>
      </c>
      <c r="L121" s="275" t="s">
        <v>493</v>
      </c>
      <c r="M121" s="277" t="s">
        <v>571</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9"/>
      <c r="AK121" s="326">
        <f t="shared" si="2"/>
        <v>0</v>
      </c>
      <c r="AL121" s="277"/>
      <c r="AM121" s="293"/>
      <c r="AN121" s="279"/>
      <c r="AO121" s="88"/>
      <c r="AP121" s="275"/>
      <c r="AQ121" s="293"/>
      <c r="AR121" s="279"/>
      <c r="AS121" s="279"/>
      <c r="AT121" s="329"/>
      <c r="AU121" s="279"/>
      <c r="AV121" s="279"/>
      <c r="AW121" s="279"/>
      <c r="AX121" s="279" t="s">
        <v>572</v>
      </c>
      <c r="AY121" s="279"/>
      <c r="AZ121" s="202"/>
      <c r="BB121" s="203"/>
      <c r="BC121" s="203"/>
      <c r="BD121" s="203"/>
      <c r="BE121" s="203"/>
      <c r="BF121" s="236"/>
      <c r="BG121" s="768"/>
      <c r="BH121" s="768"/>
      <c r="BI121" s="226"/>
      <c r="BJ121" s="201"/>
      <c r="BK121" s="201"/>
      <c r="BL121" s="201"/>
      <c r="BM121" s="201"/>
      <c r="BN121" s="201"/>
      <c r="BO121" s="201"/>
      <c r="BP121" s="201"/>
      <c r="BQ121" s="201"/>
      <c r="BR121" s="201"/>
      <c r="BS121" s="281"/>
      <c r="BT121" s="294" t="s">
        <v>245</v>
      </c>
      <c r="BU121" s="295"/>
      <c r="BV121" s="295"/>
      <c r="BW121" s="295"/>
      <c r="BX121" s="201"/>
      <c r="BY121" s="201"/>
      <c r="BZ121" s="201"/>
      <c r="CA121" s="201"/>
      <c r="CB121" s="201"/>
      <c r="CC121" s="201"/>
      <c r="CD121" s="201"/>
      <c r="CE121" s="201"/>
      <c r="CF121" s="201"/>
      <c r="CG121" s="201"/>
      <c r="CH121" s="201"/>
      <c r="CI121" s="201"/>
      <c r="CJ121" s="201"/>
      <c r="CK121" s="201"/>
      <c r="CL121" s="201"/>
      <c r="CM121" s="196">
        <v>197</v>
      </c>
      <c r="CN121" s="196">
        <v>155</v>
      </c>
      <c r="CP121" s="506">
        <v>26</v>
      </c>
      <c r="CQ121" s="506">
        <v>26.9</v>
      </c>
      <c r="CR121" s="273">
        <v>42418</v>
      </c>
      <c r="CS121" s="273">
        <v>42469</v>
      </c>
      <c r="CT121" s="205">
        <v>44</v>
      </c>
      <c r="CU121" s="206"/>
      <c r="CV121" s="283"/>
      <c r="CW121" s="273"/>
      <c r="CX121" s="283"/>
      <c r="CY121" s="283"/>
      <c r="CZ121" s="283"/>
      <c r="DA121" s="273"/>
      <c r="DB121" s="283"/>
      <c r="DC121" s="273"/>
      <c r="DD121" s="283"/>
      <c r="DE121" s="273"/>
      <c r="DF121" s="283"/>
      <c r="DG121" s="273"/>
      <c r="DH121" s="273"/>
      <c r="DI121" s="201"/>
      <c r="DJ121" s="275">
        <v>0</v>
      </c>
      <c r="DK121" s="275"/>
      <c r="DL121" s="296"/>
      <c r="DM121" s="296"/>
      <c r="DN121" s="296"/>
      <c r="DO121" s="296"/>
      <c r="DP121" s="296"/>
      <c r="DQ121" s="201"/>
      <c r="DR121" s="201"/>
      <c r="DS121" s="201"/>
      <c r="DT121" s="201"/>
      <c r="DU121" s="201"/>
      <c r="DV121" s="201"/>
      <c r="DW121" s="201"/>
      <c r="DX121" s="201"/>
      <c r="DY121" s="201"/>
      <c r="DZ121" s="201"/>
      <c r="EA121" s="201"/>
      <c r="EB121" s="201"/>
      <c r="EC121" s="201"/>
      <c r="ED121" s="201"/>
      <c r="EE121" s="201"/>
      <c r="EF121" s="201"/>
      <c r="EG121" s="201"/>
      <c r="EH121" s="201"/>
      <c r="EI121" s="201"/>
    </row>
    <row r="122" spans="1:139" s="47" customFormat="1" ht="39.75" customHeight="1">
      <c r="A122" s="50">
        <v>221</v>
      </c>
      <c r="B122" s="299">
        <v>42364</v>
      </c>
      <c r="C122" s="55">
        <v>42364.542361111111</v>
      </c>
      <c r="D122" s="300" t="s">
        <v>573</v>
      </c>
      <c r="E122" s="301" t="s">
        <v>574</v>
      </c>
      <c r="F122" s="47" t="b">
        <v>1</v>
      </c>
      <c r="H122" s="301" t="s">
        <v>418</v>
      </c>
      <c r="I122" s="302" t="s">
        <v>575</v>
      </c>
      <c r="J122" s="255">
        <v>82.871232876712327</v>
      </c>
      <c r="K122" s="181">
        <v>994.34582511505585</v>
      </c>
      <c r="L122" s="301" t="s">
        <v>419</v>
      </c>
      <c r="M122" s="303" t="s">
        <v>576</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30">
        <v>0</v>
      </c>
      <c r="AK122" s="323">
        <f t="shared" si="2"/>
        <v>0</v>
      </c>
      <c r="AL122" s="303"/>
      <c r="AM122" s="304">
        <v>42359</v>
      </c>
      <c r="AN122" s="305" t="s">
        <v>1799</v>
      </c>
      <c r="AO122" s="54">
        <v>42387</v>
      </c>
      <c r="AP122" s="306" t="s">
        <v>1800</v>
      </c>
      <c r="AQ122" s="304">
        <v>42358</v>
      </c>
      <c r="AR122" s="305">
        <v>0</v>
      </c>
      <c r="AS122" s="305"/>
      <c r="AT122" s="330">
        <v>0</v>
      </c>
      <c r="AU122" s="305">
        <v>1</v>
      </c>
      <c r="AV122" s="305">
        <v>0</v>
      </c>
      <c r="AW122" s="305">
        <v>1</v>
      </c>
      <c r="AX122" s="306" t="s">
        <v>577</v>
      </c>
      <c r="AY122" s="305"/>
      <c r="AZ122" s="193" t="s">
        <v>1801</v>
      </c>
      <c r="BA122" s="47">
        <v>0</v>
      </c>
      <c r="BB122" s="69">
        <v>1</v>
      </c>
      <c r="BC122" s="69">
        <v>20</v>
      </c>
      <c r="BD122" s="69">
        <v>0</v>
      </c>
      <c r="BE122" s="69">
        <v>0</v>
      </c>
      <c r="BF122" s="234">
        <v>0</v>
      </c>
      <c r="BG122" s="766">
        <v>0</v>
      </c>
      <c r="BH122" s="766"/>
      <c r="BI122" s="223">
        <v>0</v>
      </c>
      <c r="BJ122" s="70"/>
      <c r="BK122" s="70">
        <v>0</v>
      </c>
      <c r="BL122" s="70"/>
      <c r="BM122" s="70">
        <v>0</v>
      </c>
      <c r="BN122" s="70"/>
      <c r="BO122" s="70">
        <v>0</v>
      </c>
      <c r="BP122" s="70">
        <v>0</v>
      </c>
      <c r="BQ122" s="70">
        <v>0</v>
      </c>
      <c r="BR122" s="70">
        <v>0</v>
      </c>
      <c r="BS122" s="240">
        <v>0</v>
      </c>
      <c r="BT122" s="223">
        <v>1</v>
      </c>
      <c r="BU122" s="70" t="s">
        <v>1802</v>
      </c>
      <c r="BV122" s="70">
        <v>0</v>
      </c>
      <c r="BW122" s="70">
        <v>0</v>
      </c>
      <c r="BX122" s="70">
        <v>0</v>
      </c>
      <c r="BY122" s="70"/>
      <c r="BZ122" s="70"/>
      <c r="CA122" s="70"/>
      <c r="CB122" s="70">
        <v>0</v>
      </c>
      <c r="CC122" s="70">
        <v>0</v>
      </c>
      <c r="CD122" s="70">
        <v>0</v>
      </c>
      <c r="CE122" s="70"/>
      <c r="CF122" s="70"/>
      <c r="CG122" s="70"/>
      <c r="CH122" s="70">
        <v>0</v>
      </c>
      <c r="CI122" s="70"/>
      <c r="CJ122" s="70">
        <v>0</v>
      </c>
      <c r="CK122" s="70">
        <v>0</v>
      </c>
      <c r="CL122" s="70">
        <v>0</v>
      </c>
      <c r="CM122" s="47">
        <v>85</v>
      </c>
      <c r="CN122" s="47">
        <v>58</v>
      </c>
      <c r="CP122" s="504">
        <v>29.4</v>
      </c>
      <c r="CQ122" s="504">
        <v>31.2</v>
      </c>
      <c r="CR122" s="258">
        <v>42356</v>
      </c>
      <c r="CS122" s="258">
        <v>42377</v>
      </c>
      <c r="CT122" s="78">
        <v>13</v>
      </c>
      <c r="CU122" s="79">
        <v>44229</v>
      </c>
      <c r="CV122" s="307">
        <v>0</v>
      </c>
      <c r="CW122" s="258"/>
      <c r="CX122" s="307">
        <v>0</v>
      </c>
      <c r="CY122" s="307">
        <v>0</v>
      </c>
      <c r="CZ122" s="307">
        <v>0</v>
      </c>
      <c r="DA122" s="258"/>
      <c r="DB122" s="307">
        <v>0</v>
      </c>
      <c r="DC122" s="258"/>
      <c r="DD122" s="307">
        <v>0</v>
      </c>
      <c r="DE122" s="258"/>
      <c r="DF122" s="307">
        <v>0</v>
      </c>
      <c r="DG122" s="258"/>
      <c r="DH122" s="258"/>
      <c r="DI122" s="70"/>
      <c r="DJ122" s="70">
        <v>0</v>
      </c>
      <c r="DK122" s="308"/>
      <c r="DL122" s="255"/>
      <c r="DM122" s="70"/>
      <c r="DN122" s="70"/>
      <c r="DO122" s="70"/>
      <c r="DP122" s="70"/>
      <c r="DQ122" s="70"/>
      <c r="DR122" s="70"/>
      <c r="DS122" s="70"/>
      <c r="DT122" s="70"/>
      <c r="DU122" s="70"/>
      <c r="DV122" s="70"/>
      <c r="DW122" s="70"/>
      <c r="DX122" s="70"/>
      <c r="DY122" s="70"/>
      <c r="DZ122" s="70"/>
      <c r="EA122" s="70"/>
      <c r="EB122" s="70"/>
      <c r="EC122" s="70"/>
      <c r="ED122" s="70"/>
      <c r="EE122" s="70"/>
      <c r="EF122" s="70"/>
      <c r="EG122" s="70"/>
      <c r="EH122" s="70"/>
      <c r="EI122" s="70"/>
    </row>
    <row r="123" spans="1:139" s="47" customFormat="1" ht="39.75" customHeight="1">
      <c r="A123" s="50">
        <v>225</v>
      </c>
      <c r="B123" s="299">
        <v>42322</v>
      </c>
      <c r="C123" s="55">
        <v>42322.408333333333</v>
      </c>
      <c r="D123" s="300" t="s">
        <v>578</v>
      </c>
      <c r="E123" s="301" t="s">
        <v>579</v>
      </c>
      <c r="F123" s="47" t="b">
        <v>1</v>
      </c>
      <c r="H123" s="301" t="s">
        <v>441</v>
      </c>
      <c r="I123" s="302" t="s">
        <v>580</v>
      </c>
      <c r="J123" s="309">
        <v>80.93150684931507</v>
      </c>
      <c r="K123" s="181">
        <v>971.07166337935564</v>
      </c>
      <c r="L123" s="301" t="s">
        <v>500</v>
      </c>
      <c r="M123" s="303" t="s">
        <v>581</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30">
        <v>0</v>
      </c>
      <c r="AK123" s="323">
        <f t="shared" si="2"/>
        <v>0</v>
      </c>
      <c r="AL123" s="303"/>
      <c r="AM123" s="304">
        <v>42310</v>
      </c>
      <c r="AN123" s="305" t="s">
        <v>1803</v>
      </c>
      <c r="AO123" s="54">
        <v>42345</v>
      </c>
      <c r="AP123" s="306" t="s">
        <v>1804</v>
      </c>
      <c r="AQ123" s="304">
        <v>42309</v>
      </c>
      <c r="AR123" s="305">
        <v>1</v>
      </c>
      <c r="AS123" s="305" t="s">
        <v>1794</v>
      </c>
      <c r="AT123" s="330">
        <v>0</v>
      </c>
      <c r="AU123" s="305">
        <v>0</v>
      </c>
      <c r="AV123" s="305">
        <v>0</v>
      </c>
      <c r="AW123" s="305">
        <v>1</v>
      </c>
      <c r="AX123" s="305" t="s">
        <v>582</v>
      </c>
      <c r="AY123" s="305"/>
      <c r="AZ123" s="193"/>
      <c r="BA123" s="47">
        <v>0</v>
      </c>
      <c r="BB123" s="69">
        <v>1</v>
      </c>
      <c r="BC123" s="69"/>
      <c r="BD123" s="69">
        <v>0</v>
      </c>
      <c r="BE123" s="69">
        <v>0</v>
      </c>
      <c r="BF123" s="234">
        <v>0</v>
      </c>
      <c r="BG123" s="766">
        <v>0</v>
      </c>
      <c r="BH123" s="766"/>
      <c r="BI123" s="223">
        <v>0</v>
      </c>
      <c r="BJ123" s="70"/>
      <c r="BK123" s="70">
        <v>0</v>
      </c>
      <c r="BL123" s="70"/>
      <c r="BM123" s="70">
        <v>0</v>
      </c>
      <c r="BN123" s="70"/>
      <c r="BO123" s="70">
        <v>0</v>
      </c>
      <c r="BP123" s="70">
        <v>0</v>
      </c>
      <c r="BQ123" s="70">
        <v>0</v>
      </c>
      <c r="BR123" s="70">
        <v>0</v>
      </c>
      <c r="BS123" s="240">
        <v>0</v>
      </c>
      <c r="BT123" s="252">
        <v>1</v>
      </c>
      <c r="BU123" s="253" t="s">
        <v>1805</v>
      </c>
      <c r="BV123" s="253">
        <v>0</v>
      </c>
      <c r="BW123" s="253">
        <v>0</v>
      </c>
      <c r="BX123" s="70">
        <v>0</v>
      </c>
      <c r="BY123" s="70"/>
      <c r="BZ123" s="70"/>
      <c r="CA123" s="70"/>
      <c r="CB123" s="70">
        <v>0</v>
      </c>
      <c r="CC123" s="70">
        <v>0</v>
      </c>
      <c r="CD123" s="70">
        <v>0</v>
      </c>
      <c r="CE123" s="70"/>
      <c r="CF123" s="70"/>
      <c r="CG123" s="70"/>
      <c r="CH123" s="70">
        <v>1</v>
      </c>
      <c r="CI123" s="70" t="s">
        <v>1806</v>
      </c>
      <c r="CJ123" s="70">
        <v>1</v>
      </c>
      <c r="CK123" s="70">
        <v>0</v>
      </c>
      <c r="CL123" s="70">
        <v>0</v>
      </c>
      <c r="CM123" s="47">
        <v>337</v>
      </c>
      <c r="CN123" s="47">
        <v>268</v>
      </c>
      <c r="CP123" s="504">
        <v>27.2</v>
      </c>
      <c r="CQ123" s="504">
        <v>27.5</v>
      </c>
      <c r="CR123" s="258">
        <v>42318</v>
      </c>
      <c r="CS123" s="258">
        <v>42371</v>
      </c>
      <c r="CT123" s="78">
        <v>49</v>
      </c>
      <c r="CU123" s="79">
        <v>42514</v>
      </c>
      <c r="CV123" s="307">
        <v>0</v>
      </c>
      <c r="CW123" s="258"/>
      <c r="CX123" s="307">
        <v>0</v>
      </c>
      <c r="CY123" s="307">
        <v>0</v>
      </c>
      <c r="CZ123" s="307">
        <v>0</v>
      </c>
      <c r="DA123" s="258"/>
      <c r="DB123" s="307">
        <v>0</v>
      </c>
      <c r="DC123" s="258"/>
      <c r="DD123" s="307">
        <v>0</v>
      </c>
      <c r="DE123" s="258"/>
      <c r="DF123" s="307">
        <v>0</v>
      </c>
      <c r="DG123" s="258"/>
      <c r="DH123" s="258"/>
      <c r="DI123" s="70"/>
      <c r="DJ123" s="70">
        <v>0</v>
      </c>
      <c r="DK123" s="308"/>
      <c r="DL123" s="255"/>
      <c r="DM123" s="70"/>
      <c r="DN123" s="70"/>
      <c r="DO123" s="70"/>
      <c r="DP123" s="70"/>
      <c r="DQ123" s="70"/>
      <c r="DR123" s="70"/>
      <c r="DS123" s="70"/>
      <c r="DT123" s="70"/>
      <c r="DU123" s="70"/>
      <c r="DV123" s="70"/>
      <c r="DW123" s="70"/>
      <c r="DX123" s="70"/>
      <c r="DY123" s="70"/>
      <c r="DZ123" s="70"/>
      <c r="EA123" s="70"/>
      <c r="EB123" s="70"/>
      <c r="EC123" s="70"/>
      <c r="ED123" s="70"/>
      <c r="EE123" s="70"/>
      <c r="EF123" s="70"/>
      <c r="EG123" s="70"/>
      <c r="EH123" s="70"/>
      <c r="EI123" s="70"/>
    </row>
    <row r="124" spans="1:139" s="47" customFormat="1" ht="39.75" customHeight="1">
      <c r="A124" s="50">
        <v>227</v>
      </c>
      <c r="B124" s="299">
        <v>42312</v>
      </c>
      <c r="C124" s="55">
        <v>42312.333333333336</v>
      </c>
      <c r="D124" s="300" t="s">
        <v>583</v>
      </c>
      <c r="E124" s="301" t="s">
        <v>584</v>
      </c>
      <c r="F124" s="47" t="b">
        <v>1</v>
      </c>
      <c r="H124" s="301" t="s">
        <v>441</v>
      </c>
      <c r="I124" s="302" t="s">
        <v>585</v>
      </c>
      <c r="J124" s="309">
        <v>42.578082191780823</v>
      </c>
      <c r="K124" s="181">
        <v>510.88099934253779</v>
      </c>
      <c r="L124" s="301" t="s">
        <v>442</v>
      </c>
      <c r="M124" s="303" t="s">
        <v>586</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30">
        <v>1</v>
      </c>
      <c r="AK124" s="323">
        <f t="shared" si="2"/>
        <v>0</v>
      </c>
      <c r="AL124" s="303" t="s">
        <v>1807</v>
      </c>
      <c r="AM124" s="304">
        <v>42304</v>
      </c>
      <c r="AN124" s="305" t="s">
        <v>1808</v>
      </c>
      <c r="AO124" s="54">
        <v>42340</v>
      </c>
      <c r="AP124" s="306" t="s">
        <v>1809</v>
      </c>
      <c r="AQ124" s="304">
        <v>42303</v>
      </c>
      <c r="AR124" s="305">
        <v>1</v>
      </c>
      <c r="AS124" s="305" t="s">
        <v>1810</v>
      </c>
      <c r="AT124" s="330">
        <v>0</v>
      </c>
      <c r="AU124" s="305">
        <v>0</v>
      </c>
      <c r="AV124" s="305">
        <v>0</v>
      </c>
      <c r="AW124" s="305">
        <v>1</v>
      </c>
      <c r="AX124" s="305" t="s">
        <v>587</v>
      </c>
      <c r="AY124" s="302"/>
      <c r="AZ124" s="193" t="s">
        <v>1811</v>
      </c>
      <c r="BA124" s="47">
        <v>0</v>
      </c>
      <c r="BB124" s="69">
        <v>1</v>
      </c>
      <c r="BC124" s="69"/>
      <c r="BD124" s="69">
        <v>0</v>
      </c>
      <c r="BE124" s="69">
        <v>0</v>
      </c>
      <c r="BF124" s="234">
        <v>1</v>
      </c>
      <c r="BG124" s="766">
        <v>0</v>
      </c>
      <c r="BH124" s="766"/>
      <c r="BI124" s="223">
        <v>0</v>
      </c>
      <c r="BJ124" s="70"/>
      <c r="BK124" s="70">
        <v>0</v>
      </c>
      <c r="BL124" s="70"/>
      <c r="BM124" s="70">
        <v>0</v>
      </c>
      <c r="BN124" s="70"/>
      <c r="BO124" s="70">
        <v>0</v>
      </c>
      <c r="BP124" s="70">
        <v>0</v>
      </c>
      <c r="BQ124" s="70">
        <v>0</v>
      </c>
      <c r="BR124" s="70">
        <v>0</v>
      </c>
      <c r="BS124" s="240">
        <v>0</v>
      </c>
      <c r="BT124" s="252">
        <v>1</v>
      </c>
      <c r="BU124" s="253" t="s">
        <v>1812</v>
      </c>
      <c r="BV124" s="253">
        <v>0</v>
      </c>
      <c r="BW124" s="253">
        <v>0</v>
      </c>
      <c r="BX124" s="70">
        <v>0</v>
      </c>
      <c r="BY124" s="70"/>
      <c r="BZ124" s="70"/>
      <c r="CA124" s="70"/>
      <c r="CB124" s="70">
        <v>0</v>
      </c>
      <c r="CC124" s="70">
        <v>0</v>
      </c>
      <c r="CD124" s="70">
        <v>0</v>
      </c>
      <c r="CE124" s="70"/>
      <c r="CF124" s="70"/>
      <c r="CG124" s="70"/>
      <c r="CH124" s="70">
        <v>0</v>
      </c>
      <c r="CI124" s="70"/>
      <c r="CJ124" s="70">
        <v>0</v>
      </c>
      <c r="CK124" s="70">
        <v>0</v>
      </c>
      <c r="CL124" s="70">
        <v>0</v>
      </c>
      <c r="CM124" s="47">
        <v>127</v>
      </c>
      <c r="CN124" s="47">
        <v>111</v>
      </c>
      <c r="CP124" s="504">
        <v>28.9</v>
      </c>
      <c r="CQ124" s="504">
        <v>31.1</v>
      </c>
      <c r="CR124" s="258">
        <v>42305</v>
      </c>
      <c r="CS124" s="258">
        <v>42333</v>
      </c>
      <c r="CT124" s="78">
        <v>21</v>
      </c>
      <c r="CU124" s="79">
        <v>42407</v>
      </c>
      <c r="CV124" s="307">
        <v>1</v>
      </c>
      <c r="CW124" s="79">
        <v>42407</v>
      </c>
      <c r="CX124" s="307">
        <v>0</v>
      </c>
      <c r="CY124" s="307">
        <v>0</v>
      </c>
      <c r="CZ124" s="307">
        <v>1</v>
      </c>
      <c r="DA124" s="258" t="s">
        <v>1813</v>
      </c>
      <c r="DB124" s="307">
        <v>0</v>
      </c>
      <c r="DC124" s="258"/>
      <c r="DD124" s="307">
        <v>0</v>
      </c>
      <c r="DE124" s="258"/>
      <c r="DF124" s="307">
        <v>0</v>
      </c>
      <c r="DG124" s="258"/>
      <c r="DH124" s="258"/>
      <c r="DI124" s="70"/>
      <c r="DJ124" s="70">
        <v>1</v>
      </c>
      <c r="DK124" s="308">
        <v>3.122945430637738</v>
      </c>
      <c r="DL124" s="255"/>
      <c r="DM124" s="70" t="b">
        <v>1</v>
      </c>
      <c r="DN124" s="258">
        <v>42407</v>
      </c>
      <c r="DO124" s="80" t="s">
        <v>588</v>
      </c>
      <c r="DP124" s="70"/>
      <c r="DQ124" s="70"/>
      <c r="DR124" s="70"/>
      <c r="DS124" s="70"/>
      <c r="DT124" s="70"/>
      <c r="DU124" s="70"/>
      <c r="DV124" s="70"/>
      <c r="DW124" s="70"/>
      <c r="DX124" s="70"/>
      <c r="DY124" s="70"/>
      <c r="DZ124" s="70"/>
      <c r="EA124" s="70"/>
      <c r="EB124" s="70"/>
      <c r="EC124" s="70"/>
      <c r="ED124" s="70"/>
      <c r="EE124" s="70"/>
      <c r="EF124" s="70"/>
      <c r="EG124" s="70"/>
      <c r="EH124" s="70"/>
      <c r="EI124" s="70"/>
    </row>
    <row r="125" spans="1:139" s="47" customFormat="1" ht="39.75" customHeight="1">
      <c r="A125" s="50">
        <v>228</v>
      </c>
      <c r="B125" s="310">
        <v>42303</v>
      </c>
      <c r="C125" s="55">
        <v>42303.670138888891</v>
      </c>
      <c r="D125" s="311" t="s">
        <v>589</v>
      </c>
      <c r="E125" s="312" t="s">
        <v>590</v>
      </c>
      <c r="F125" s="47" t="b">
        <v>1</v>
      </c>
      <c r="H125" s="312" t="s">
        <v>418</v>
      </c>
      <c r="I125" s="313" t="s">
        <v>591</v>
      </c>
      <c r="J125" s="255">
        <v>66.660273972602738</v>
      </c>
      <c r="K125" s="181">
        <v>799.83563445101902</v>
      </c>
      <c r="L125" s="301" t="s">
        <v>419</v>
      </c>
      <c r="M125" s="303" t="s">
        <v>592</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30">
        <v>1</v>
      </c>
      <c r="AK125" s="323">
        <f t="shared" si="2"/>
        <v>1</v>
      </c>
      <c r="AL125" s="303" t="s">
        <v>1814</v>
      </c>
      <c r="AM125" s="304">
        <v>42298</v>
      </c>
      <c r="AN125" s="305" t="s">
        <v>1736</v>
      </c>
      <c r="AO125" s="54">
        <v>42331</v>
      </c>
      <c r="AP125" s="306" t="s">
        <v>1815</v>
      </c>
      <c r="AQ125" s="304">
        <v>42303</v>
      </c>
      <c r="AR125" s="305">
        <v>1</v>
      </c>
      <c r="AS125" s="305" t="s">
        <v>1816</v>
      </c>
      <c r="AT125" s="330">
        <v>0</v>
      </c>
      <c r="AU125" s="305">
        <v>0</v>
      </c>
      <c r="AV125" s="305">
        <v>0</v>
      </c>
      <c r="AW125" s="305">
        <v>1</v>
      </c>
      <c r="AX125" s="305" t="s">
        <v>593</v>
      </c>
      <c r="AY125" s="305" t="s">
        <v>1811</v>
      </c>
      <c r="AZ125" s="193"/>
      <c r="BA125" s="47">
        <v>0</v>
      </c>
      <c r="BB125" s="69">
        <v>1</v>
      </c>
      <c r="BC125" s="69"/>
      <c r="BD125" s="69">
        <v>0</v>
      </c>
      <c r="BE125" s="69">
        <v>0</v>
      </c>
      <c r="BF125" s="234">
        <v>0</v>
      </c>
      <c r="BG125" s="766">
        <v>0</v>
      </c>
      <c r="BH125" s="766"/>
      <c r="BI125" s="223">
        <v>0</v>
      </c>
      <c r="BJ125" s="70"/>
      <c r="BK125" s="70">
        <v>0</v>
      </c>
      <c r="BL125" s="70"/>
      <c r="BM125" s="70">
        <v>0</v>
      </c>
      <c r="BN125" s="70"/>
      <c r="BO125" s="70">
        <v>0</v>
      </c>
      <c r="BP125" s="70">
        <v>0</v>
      </c>
      <c r="BQ125" s="70">
        <v>0</v>
      </c>
      <c r="BR125" s="70">
        <v>0</v>
      </c>
      <c r="BS125" s="240">
        <v>0</v>
      </c>
      <c r="BT125" s="223">
        <v>1</v>
      </c>
      <c r="BU125" s="70" t="s">
        <v>1817</v>
      </c>
      <c r="BV125" s="70">
        <v>0</v>
      </c>
      <c r="BW125" s="70">
        <v>0</v>
      </c>
      <c r="BX125" s="70">
        <v>0</v>
      </c>
      <c r="BY125" s="70"/>
      <c r="BZ125" s="70"/>
      <c r="CA125" s="70"/>
      <c r="CB125" s="70">
        <v>0</v>
      </c>
      <c r="CC125" s="70">
        <v>0</v>
      </c>
      <c r="CD125" s="70">
        <v>0</v>
      </c>
      <c r="CE125" s="70"/>
      <c r="CF125" s="70"/>
      <c r="CG125" s="70"/>
      <c r="CH125" s="70">
        <v>1</v>
      </c>
      <c r="CI125" s="70"/>
      <c r="CJ125" s="70">
        <v>1</v>
      </c>
      <c r="CK125" s="70">
        <v>0</v>
      </c>
      <c r="CL125" s="70">
        <v>0</v>
      </c>
      <c r="CM125" s="47">
        <v>99</v>
      </c>
      <c r="CN125" s="47">
        <v>85</v>
      </c>
      <c r="CP125" s="504">
        <v>31.4</v>
      </c>
      <c r="CQ125" s="504">
        <v>33.200000000000003</v>
      </c>
      <c r="CR125" s="258">
        <v>42299</v>
      </c>
      <c r="CS125" s="258">
        <v>42324</v>
      </c>
      <c r="CT125" s="78">
        <v>21</v>
      </c>
      <c r="CU125" s="79">
        <v>43750</v>
      </c>
      <c r="CV125" s="307">
        <v>0</v>
      </c>
      <c r="CW125" s="258"/>
      <c r="CX125" s="307">
        <v>0</v>
      </c>
      <c r="CY125" s="307">
        <v>0</v>
      </c>
      <c r="CZ125" s="307">
        <v>0</v>
      </c>
      <c r="DA125" s="258"/>
      <c r="DB125" s="307">
        <v>0</v>
      </c>
      <c r="DC125" s="258"/>
      <c r="DD125" s="307">
        <v>0</v>
      </c>
      <c r="DE125" s="258"/>
      <c r="DF125" s="307">
        <v>0</v>
      </c>
      <c r="DG125" s="258"/>
      <c r="DH125" s="258"/>
      <c r="DI125" s="70"/>
      <c r="DJ125" s="70">
        <v>0</v>
      </c>
      <c r="DK125" s="70"/>
      <c r="DL125" s="255"/>
      <c r="DM125" s="70"/>
      <c r="DN125" s="70"/>
      <c r="DO125" s="70"/>
      <c r="DP125" s="70"/>
      <c r="DQ125" s="70"/>
      <c r="DR125" s="70"/>
      <c r="DS125" s="70"/>
      <c r="DT125" s="70"/>
      <c r="DU125" s="70"/>
      <c r="DV125" s="70"/>
      <c r="DW125" s="70"/>
      <c r="DX125" s="70"/>
      <c r="DY125" s="70"/>
      <c r="DZ125" s="70"/>
      <c r="EA125" s="70"/>
      <c r="EB125" s="70"/>
      <c r="EC125" s="70"/>
      <c r="ED125" s="70"/>
      <c r="EE125" s="70"/>
      <c r="EF125" s="70"/>
      <c r="EG125" s="70"/>
      <c r="EH125" s="70"/>
      <c r="EI125" s="70"/>
    </row>
    <row r="126" spans="1:139" s="48" customFormat="1" ht="39.75" customHeight="1">
      <c r="A126" s="60">
        <v>231</v>
      </c>
      <c r="B126" s="102">
        <v>42279</v>
      </c>
      <c r="C126" s="62">
        <v>42279.810416666667</v>
      </c>
      <c r="D126" s="103">
        <v>35072521</v>
      </c>
      <c r="E126" s="104" t="s">
        <v>594</v>
      </c>
      <c r="F126" s="48" t="b">
        <v>0</v>
      </c>
      <c r="G126" s="48" t="s">
        <v>1674</v>
      </c>
      <c r="H126" s="104" t="s">
        <v>418</v>
      </c>
      <c r="I126" s="314" t="s">
        <v>595</v>
      </c>
      <c r="J126" s="105">
        <v>49.241095890410961</v>
      </c>
      <c r="K126" s="85">
        <v>590.82840236686388</v>
      </c>
      <c r="L126" s="106" t="s">
        <v>500</v>
      </c>
      <c r="M126" s="315" t="s">
        <v>596</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c r="AK126" s="324">
        <f t="shared" si="2"/>
        <v>1</v>
      </c>
      <c r="AL126" s="187"/>
      <c r="AM126" s="191">
        <v>42277</v>
      </c>
      <c r="AN126" s="51" t="s">
        <v>1818</v>
      </c>
      <c r="AO126" s="61"/>
      <c r="AP126" s="60"/>
      <c r="AQ126" s="191"/>
      <c r="AR126" s="51"/>
      <c r="AS126" s="51"/>
      <c r="AT126" s="324"/>
      <c r="AU126" s="51">
        <v>0</v>
      </c>
      <c r="AV126" s="51">
        <v>0</v>
      </c>
      <c r="AW126" s="51">
        <v>0</v>
      </c>
      <c r="AX126" s="316" t="s">
        <v>597</v>
      </c>
      <c r="AY126" s="316">
        <v>0</v>
      </c>
      <c r="AZ126" s="91">
        <v>1</v>
      </c>
      <c r="BB126" s="82">
        <v>0</v>
      </c>
      <c r="BC126" s="82" t="e">
        <v>#REF!</v>
      </c>
      <c r="BD126" s="82">
        <v>0</v>
      </c>
      <c r="BE126" s="82">
        <v>0</v>
      </c>
      <c r="BF126" s="235">
        <v>0</v>
      </c>
      <c r="BG126" s="767"/>
      <c r="BH126" s="767"/>
      <c r="BI126" s="224">
        <v>1</v>
      </c>
      <c r="BJ126" s="71"/>
      <c r="BK126" s="71"/>
      <c r="BL126" s="71"/>
      <c r="BM126" s="71"/>
      <c r="BN126" s="71"/>
      <c r="BO126" s="71"/>
      <c r="BP126" s="71"/>
      <c r="BQ126" s="71"/>
      <c r="BR126" s="71"/>
      <c r="BS126" s="245" t="s">
        <v>148</v>
      </c>
      <c r="BT126" s="224"/>
      <c r="BU126" s="71"/>
      <c r="BV126" s="71"/>
      <c r="BW126" s="71"/>
      <c r="BX126" s="71">
        <v>0</v>
      </c>
      <c r="BY126" s="71"/>
      <c r="BZ126" s="71"/>
      <c r="CA126" s="71" t="e">
        <v>#REF!</v>
      </c>
      <c r="CB126" s="86">
        <v>0</v>
      </c>
      <c r="CC126" s="86"/>
      <c r="CD126" s="86"/>
      <c r="CE126" s="86"/>
      <c r="CF126" s="86">
        <v>0</v>
      </c>
      <c r="CG126" s="71"/>
      <c r="CH126" s="71"/>
      <c r="CI126" s="71"/>
      <c r="CJ126" s="71"/>
      <c r="CK126" s="71"/>
      <c r="CL126" s="71"/>
      <c r="CM126" s="48">
        <v>61</v>
      </c>
      <c r="CN126" s="48">
        <v>44</v>
      </c>
      <c r="CP126" s="505">
        <v>33.200000000000003</v>
      </c>
      <c r="CQ126" s="505">
        <v>34</v>
      </c>
      <c r="CR126" s="108">
        <v>42279</v>
      </c>
      <c r="CS126" s="108">
        <v>42286</v>
      </c>
      <c r="CT126" s="83">
        <v>7</v>
      </c>
      <c r="CU126" s="84"/>
      <c r="CV126" s="109"/>
      <c r="CW126" s="108"/>
      <c r="CX126" s="109"/>
      <c r="CY126" s="109"/>
      <c r="CZ126" s="109"/>
      <c r="DA126" s="108"/>
      <c r="DB126" s="109"/>
      <c r="DC126" s="108"/>
      <c r="DD126" s="109"/>
      <c r="DE126" s="108"/>
      <c r="DF126" s="109"/>
      <c r="DG126" s="108"/>
      <c r="DH126" s="67" t="s">
        <v>448</v>
      </c>
      <c r="DI126" s="71"/>
      <c r="DJ126" s="71">
        <v>0</v>
      </c>
      <c r="DK126" s="71"/>
      <c r="DL126" s="110"/>
      <c r="DM126" s="71"/>
      <c r="DN126" s="71"/>
      <c r="DO126" s="71"/>
      <c r="DP126" s="71"/>
      <c r="DQ126" s="71"/>
      <c r="DR126" s="71"/>
      <c r="DS126" s="71"/>
      <c r="DT126" s="71"/>
      <c r="DU126" s="71"/>
      <c r="DV126" s="71"/>
      <c r="DW126" s="71"/>
      <c r="DX126" s="71"/>
      <c r="DY126" s="71"/>
      <c r="DZ126" s="71"/>
      <c r="EA126" s="71"/>
      <c r="EB126" s="71"/>
      <c r="EC126" s="71"/>
      <c r="ED126" s="71"/>
      <c r="EE126" s="71"/>
      <c r="EF126" s="71"/>
      <c r="EG126" s="71"/>
      <c r="EH126" s="71"/>
      <c r="EI126" s="71"/>
    </row>
    <row r="127" spans="1:139" s="47" customFormat="1" ht="39.75" customHeight="1">
      <c r="A127" s="50">
        <v>233</v>
      </c>
      <c r="B127" s="310">
        <v>42265</v>
      </c>
      <c r="C127" s="55">
        <v>42265.335416666669</v>
      </c>
      <c r="D127" s="311" t="s">
        <v>598</v>
      </c>
      <c r="E127" s="312" t="s">
        <v>599</v>
      </c>
      <c r="F127" s="47" t="b">
        <v>1</v>
      </c>
      <c r="H127" s="312" t="s">
        <v>441</v>
      </c>
      <c r="I127" s="313" t="s">
        <v>600</v>
      </c>
      <c r="J127" s="309">
        <v>49.69315068493151</v>
      </c>
      <c r="K127" s="181">
        <v>596.25246548323469</v>
      </c>
      <c r="L127" s="301" t="s">
        <v>493</v>
      </c>
      <c r="M127" s="303" t="s">
        <v>601</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v>0</v>
      </c>
      <c r="AK127" s="323">
        <f t="shared" si="2"/>
        <v>0</v>
      </c>
      <c r="AL127" s="186"/>
      <c r="AM127" s="58">
        <v>42264</v>
      </c>
      <c r="AN127" s="52" t="s">
        <v>1819</v>
      </c>
      <c r="AO127" s="54">
        <v>42279</v>
      </c>
      <c r="AP127" s="50" t="s">
        <v>152</v>
      </c>
      <c r="AQ127" s="58">
        <v>42215</v>
      </c>
      <c r="AR127" s="52">
        <v>1</v>
      </c>
      <c r="AS127" s="52" t="s">
        <v>602</v>
      </c>
      <c r="AT127" s="323">
        <v>0</v>
      </c>
      <c r="AU127" s="52">
        <v>1</v>
      </c>
      <c r="AV127" s="52">
        <v>0</v>
      </c>
      <c r="AW127" s="52">
        <v>0</v>
      </c>
      <c r="AX127" s="305" t="s">
        <v>603</v>
      </c>
      <c r="AY127" s="305"/>
      <c r="AZ127" s="193" t="s">
        <v>1820</v>
      </c>
      <c r="BA127" s="47">
        <v>0</v>
      </c>
      <c r="BB127" s="69">
        <v>1</v>
      </c>
      <c r="BC127" s="69">
        <v>3</v>
      </c>
      <c r="BD127" s="69">
        <v>1</v>
      </c>
      <c r="BE127" s="69">
        <v>0</v>
      </c>
      <c r="BF127" s="234">
        <v>1</v>
      </c>
      <c r="BG127" s="766">
        <v>0</v>
      </c>
      <c r="BH127" s="766"/>
      <c r="BI127" s="223">
        <v>1</v>
      </c>
      <c r="BJ127" s="70"/>
      <c r="BK127" s="70">
        <v>1</v>
      </c>
      <c r="BL127" s="70" t="s">
        <v>1821</v>
      </c>
      <c r="BM127" s="80">
        <v>1</v>
      </c>
      <c r="BN127" s="80" t="s">
        <v>1822</v>
      </c>
      <c r="BO127" s="80">
        <v>0</v>
      </c>
      <c r="BP127" s="80">
        <v>1</v>
      </c>
      <c r="BQ127" s="80">
        <v>0</v>
      </c>
      <c r="BR127" s="80">
        <v>0</v>
      </c>
      <c r="BS127" s="242">
        <v>1</v>
      </c>
      <c r="BT127" s="223">
        <v>0</v>
      </c>
      <c r="BU127" s="70"/>
      <c r="BV127" s="70">
        <v>0</v>
      </c>
      <c r="BW127" s="70">
        <v>0</v>
      </c>
      <c r="BX127" s="70">
        <v>0</v>
      </c>
      <c r="BY127" s="70"/>
      <c r="BZ127" s="70"/>
      <c r="CA127" s="70"/>
      <c r="CB127" s="77">
        <v>0</v>
      </c>
      <c r="CC127" s="77">
        <v>0</v>
      </c>
      <c r="CD127" s="77">
        <v>0</v>
      </c>
      <c r="CE127" s="77"/>
      <c r="CF127" s="77"/>
      <c r="CG127" s="70"/>
      <c r="CH127" s="70">
        <v>0</v>
      </c>
      <c r="CI127" s="70"/>
      <c r="CJ127" s="70">
        <v>0</v>
      </c>
      <c r="CK127" s="70">
        <v>0</v>
      </c>
      <c r="CL127" s="70">
        <v>0</v>
      </c>
      <c r="CM127" s="47">
        <v>93</v>
      </c>
      <c r="CN127" s="47">
        <v>76</v>
      </c>
      <c r="CP127" s="504">
        <v>28.7</v>
      </c>
      <c r="CQ127" s="504">
        <v>30.5</v>
      </c>
      <c r="CR127" s="258">
        <v>42262</v>
      </c>
      <c r="CS127" s="258">
        <v>42279</v>
      </c>
      <c r="CT127" s="78">
        <v>14</v>
      </c>
      <c r="CU127" s="79">
        <v>43620</v>
      </c>
      <c r="CV127" s="307">
        <v>0</v>
      </c>
      <c r="CW127" s="258"/>
      <c r="CX127" s="307">
        <v>0</v>
      </c>
      <c r="CY127" s="307">
        <v>0</v>
      </c>
      <c r="CZ127" s="307">
        <v>0</v>
      </c>
      <c r="DA127" s="258"/>
      <c r="DB127" s="307">
        <v>0</v>
      </c>
      <c r="DC127" s="258"/>
      <c r="DD127" s="307">
        <v>0</v>
      </c>
      <c r="DE127" s="258"/>
      <c r="DF127" s="307">
        <v>0</v>
      </c>
      <c r="DG127" s="258"/>
      <c r="DH127" s="258"/>
      <c r="DI127" s="70"/>
      <c r="DJ127" s="70">
        <v>0</v>
      </c>
      <c r="DK127" s="308"/>
      <c r="DL127" s="255"/>
      <c r="DM127" s="70"/>
      <c r="DN127" s="70"/>
      <c r="DO127" s="70"/>
      <c r="DP127" s="70"/>
      <c r="DQ127" s="70"/>
      <c r="DR127" s="70"/>
      <c r="DS127" s="70"/>
      <c r="DT127" s="70"/>
      <c r="DU127" s="70"/>
      <c r="DV127" s="70"/>
      <c r="DW127" s="70"/>
      <c r="DX127" s="70"/>
      <c r="DY127" s="70"/>
      <c r="DZ127" s="70"/>
      <c r="EA127" s="70"/>
      <c r="EB127" s="70"/>
      <c r="EC127" s="70"/>
      <c r="ED127" s="70"/>
      <c r="EE127" s="70"/>
      <c r="EF127" s="70"/>
      <c r="EG127" s="70"/>
      <c r="EH127" s="70"/>
      <c r="EI127" s="70"/>
    </row>
    <row r="128" spans="1:139" s="47" customFormat="1" ht="39.75" customHeight="1">
      <c r="A128" s="50">
        <v>239</v>
      </c>
      <c r="B128" s="310">
        <v>42160</v>
      </c>
      <c r="C128" s="55">
        <v>42160.332638888889</v>
      </c>
      <c r="D128" s="311" t="s">
        <v>604</v>
      </c>
      <c r="E128" s="312" t="s">
        <v>605</v>
      </c>
      <c r="F128" s="47" t="b">
        <v>1</v>
      </c>
      <c r="H128" s="312" t="s">
        <v>441</v>
      </c>
      <c r="I128" s="313" t="s">
        <v>606</v>
      </c>
      <c r="J128" s="309">
        <v>73.057534246575344</v>
      </c>
      <c r="K128" s="181">
        <v>876.59434582511506</v>
      </c>
      <c r="L128" s="301" t="s">
        <v>442</v>
      </c>
      <c r="M128" s="303" t="s">
        <v>607</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30">
        <v>0</v>
      </c>
      <c r="AK128" s="323">
        <f t="shared" si="2"/>
        <v>0</v>
      </c>
      <c r="AL128" s="303"/>
      <c r="AM128" s="304">
        <v>42155</v>
      </c>
      <c r="AN128" s="305" t="s">
        <v>1823</v>
      </c>
      <c r="AO128" s="54">
        <v>42186</v>
      </c>
      <c r="AP128" s="306" t="s">
        <v>1824</v>
      </c>
      <c r="AQ128" s="304">
        <v>42155</v>
      </c>
      <c r="AR128" s="305">
        <v>0</v>
      </c>
      <c r="AS128" s="305"/>
      <c r="AT128" s="330">
        <v>0</v>
      </c>
      <c r="AU128" s="305">
        <v>1</v>
      </c>
      <c r="AV128" s="305">
        <v>0</v>
      </c>
      <c r="AW128" s="305">
        <v>1</v>
      </c>
      <c r="AX128" s="305" t="s">
        <v>608</v>
      </c>
      <c r="AY128" s="305"/>
      <c r="AZ128" s="193" t="s">
        <v>1820</v>
      </c>
      <c r="BA128" s="47">
        <v>0</v>
      </c>
      <c r="BB128" s="69">
        <v>1</v>
      </c>
      <c r="BC128" s="69"/>
      <c r="BD128" s="69">
        <v>0</v>
      </c>
      <c r="BE128" s="69">
        <v>0</v>
      </c>
      <c r="BF128" s="234">
        <v>0</v>
      </c>
      <c r="BG128" s="766">
        <v>0</v>
      </c>
      <c r="BH128" s="766"/>
      <c r="BI128" s="223">
        <v>0</v>
      </c>
      <c r="BJ128" s="70"/>
      <c r="BK128" s="70">
        <v>0</v>
      </c>
      <c r="BL128" s="70"/>
      <c r="BM128" s="70">
        <v>0</v>
      </c>
      <c r="BN128" s="70"/>
      <c r="BO128" s="70">
        <v>0</v>
      </c>
      <c r="BP128" s="70">
        <v>0</v>
      </c>
      <c r="BQ128" s="70">
        <v>0</v>
      </c>
      <c r="BR128" s="70">
        <v>0</v>
      </c>
      <c r="BS128" s="240">
        <v>0</v>
      </c>
      <c r="BT128" s="252">
        <v>1</v>
      </c>
      <c r="BU128" s="253" t="s">
        <v>1825</v>
      </c>
      <c r="BV128" s="253">
        <v>0</v>
      </c>
      <c r="BW128" s="253">
        <v>0</v>
      </c>
      <c r="BX128" s="70">
        <v>0</v>
      </c>
      <c r="BY128" s="70"/>
      <c r="BZ128" s="70"/>
      <c r="CA128" s="70"/>
      <c r="CB128" s="70">
        <v>0</v>
      </c>
      <c r="CC128" s="70">
        <v>0</v>
      </c>
      <c r="CD128" s="70">
        <v>0</v>
      </c>
      <c r="CE128" s="70"/>
      <c r="CF128" s="70"/>
      <c r="CG128" s="70"/>
      <c r="CH128" s="70">
        <v>0</v>
      </c>
      <c r="CI128" s="70"/>
      <c r="CJ128" s="70">
        <v>0</v>
      </c>
      <c r="CK128" s="70">
        <v>0</v>
      </c>
      <c r="CL128" s="70">
        <v>0</v>
      </c>
      <c r="CM128" s="47">
        <v>115</v>
      </c>
      <c r="CN128" s="47">
        <v>97</v>
      </c>
      <c r="CP128" s="504">
        <v>30.8</v>
      </c>
      <c r="CQ128" s="504">
        <v>32</v>
      </c>
      <c r="CR128" s="258">
        <v>42157</v>
      </c>
      <c r="CS128" s="258">
        <v>42185</v>
      </c>
      <c r="CT128" s="78">
        <v>25</v>
      </c>
      <c r="CU128" s="79">
        <v>43780</v>
      </c>
      <c r="CV128" s="307">
        <v>0</v>
      </c>
      <c r="CW128" s="258"/>
      <c r="CX128" s="307">
        <v>0</v>
      </c>
      <c r="CY128" s="307">
        <v>0</v>
      </c>
      <c r="CZ128" s="307">
        <v>0</v>
      </c>
      <c r="DA128" s="258"/>
      <c r="DB128" s="307">
        <v>0</v>
      </c>
      <c r="DC128" s="258"/>
      <c r="DD128" s="307">
        <v>0</v>
      </c>
      <c r="DE128" s="258"/>
      <c r="DF128" s="307">
        <v>0</v>
      </c>
      <c r="DG128" s="258"/>
      <c r="DH128" s="258"/>
      <c r="DI128" s="70"/>
      <c r="DJ128" s="70">
        <v>0</v>
      </c>
      <c r="DK128" s="308"/>
      <c r="DL128" s="255"/>
      <c r="DM128" s="70"/>
      <c r="DN128" s="70"/>
      <c r="DO128" s="70"/>
      <c r="DP128" s="70"/>
      <c r="DQ128" s="70"/>
      <c r="DR128" s="70"/>
      <c r="DS128" s="70"/>
      <c r="DT128" s="70"/>
      <c r="DU128" s="70"/>
      <c r="DV128" s="70"/>
      <c r="DW128" s="70"/>
      <c r="DX128" s="70"/>
      <c r="DY128" s="70"/>
      <c r="DZ128" s="70"/>
      <c r="EA128" s="70"/>
      <c r="EB128" s="70"/>
      <c r="EC128" s="70"/>
      <c r="ED128" s="70"/>
      <c r="EE128" s="70"/>
      <c r="EF128" s="70"/>
      <c r="EG128" s="70"/>
      <c r="EH128" s="70"/>
      <c r="EI128" s="70"/>
    </row>
    <row r="129" spans="1:139" s="47" customFormat="1" ht="39.75" customHeight="1">
      <c r="A129" s="50">
        <v>240</v>
      </c>
      <c r="B129" s="310">
        <v>42158</v>
      </c>
      <c r="C129" s="55">
        <v>42158.743055555555</v>
      </c>
      <c r="D129" s="311">
        <v>34725240</v>
      </c>
      <c r="E129" s="312" t="s">
        <v>609</v>
      </c>
      <c r="F129" s="47" t="b">
        <v>1</v>
      </c>
      <c r="H129" s="312" t="s">
        <v>418</v>
      </c>
      <c r="I129" s="313" t="s">
        <v>610</v>
      </c>
      <c r="J129" s="255">
        <v>25.408219178082192</v>
      </c>
      <c r="K129" s="181">
        <v>304.8652202498356</v>
      </c>
      <c r="L129" s="301" t="s">
        <v>493</v>
      </c>
      <c r="M129" s="318" t="s">
        <v>611</v>
      </c>
      <c r="N129" s="47">
        <v>174</v>
      </c>
      <c r="O129" s="47">
        <v>55.3</v>
      </c>
      <c r="P129" s="47">
        <f t="shared" si="3"/>
        <v>18.265292641035803</v>
      </c>
      <c r="Q129" s="304">
        <v>42128</v>
      </c>
      <c r="R129" s="47">
        <v>1</v>
      </c>
      <c r="S129" s="47">
        <v>0</v>
      </c>
      <c r="T129" s="47">
        <v>0</v>
      </c>
      <c r="U129" s="47">
        <v>0</v>
      </c>
      <c r="V129" s="302">
        <v>0</v>
      </c>
      <c r="W129" s="47">
        <v>0</v>
      </c>
      <c r="X129" s="47">
        <v>0</v>
      </c>
      <c r="Y129" s="215">
        <v>0</v>
      </c>
      <c r="Z129" s="346" t="s">
        <v>1826</v>
      </c>
      <c r="AA129" s="330" t="s">
        <v>1826</v>
      </c>
      <c r="AB129" s="330" t="s">
        <v>1826</v>
      </c>
      <c r="AC129" s="330" t="s">
        <v>1826</v>
      </c>
      <c r="AD129" s="330" t="s">
        <v>1826</v>
      </c>
      <c r="AE129" s="330" t="s">
        <v>1826</v>
      </c>
      <c r="AF129" s="330" t="s">
        <v>1826</v>
      </c>
      <c r="AG129" s="330" t="s">
        <v>1826</v>
      </c>
      <c r="AH129" s="330" t="s">
        <v>1826</v>
      </c>
      <c r="AI129" s="330" t="s">
        <v>1826</v>
      </c>
      <c r="AJ129" s="330">
        <v>0</v>
      </c>
      <c r="AK129" s="323">
        <f t="shared" si="2"/>
        <v>0</v>
      </c>
      <c r="AL129" s="318"/>
      <c r="AM129" s="304">
        <v>42157</v>
      </c>
      <c r="AN129" s="302" t="s">
        <v>1592</v>
      </c>
      <c r="AO129" s="54">
        <v>42185</v>
      </c>
      <c r="AP129" s="301" t="s">
        <v>1828</v>
      </c>
      <c r="AQ129" s="304" t="s">
        <v>1827</v>
      </c>
      <c r="AR129" s="302" t="s">
        <v>1826</v>
      </c>
      <c r="AS129" s="302"/>
      <c r="AT129" s="330" t="s">
        <v>1826</v>
      </c>
      <c r="AU129" s="302" t="s">
        <v>1829</v>
      </c>
      <c r="AV129" s="302" t="s">
        <v>1826</v>
      </c>
      <c r="AW129" s="302" t="s">
        <v>1829</v>
      </c>
      <c r="AX129" s="302" t="s">
        <v>612</v>
      </c>
      <c r="AY129" s="301"/>
      <c r="AZ129" s="193" t="s">
        <v>1820</v>
      </c>
      <c r="BA129" s="47">
        <v>0</v>
      </c>
      <c r="BB129" s="69">
        <v>1</v>
      </c>
      <c r="BC129" s="69">
        <v>20</v>
      </c>
      <c r="BD129" s="69">
        <v>0</v>
      </c>
      <c r="BE129" s="69">
        <v>0</v>
      </c>
      <c r="BF129" s="234">
        <v>0</v>
      </c>
      <c r="BG129" s="766">
        <v>1</v>
      </c>
      <c r="BH129" s="766" t="s">
        <v>2004</v>
      </c>
      <c r="BI129" s="223">
        <v>0</v>
      </c>
      <c r="BJ129" s="70"/>
      <c r="BK129" s="70">
        <v>0</v>
      </c>
      <c r="BL129" s="70"/>
      <c r="BM129" s="70">
        <v>0</v>
      </c>
      <c r="BN129" s="70"/>
      <c r="BO129" s="70">
        <v>0</v>
      </c>
      <c r="BP129" s="70">
        <v>0</v>
      </c>
      <c r="BQ129" s="70">
        <v>0</v>
      </c>
      <c r="BR129" s="70">
        <v>0</v>
      </c>
      <c r="BS129" s="240">
        <v>0</v>
      </c>
      <c r="BT129" s="223">
        <v>1</v>
      </c>
      <c r="BU129" s="70" t="s">
        <v>1830</v>
      </c>
      <c r="BV129" s="70">
        <v>0</v>
      </c>
      <c r="BW129" s="70">
        <v>0</v>
      </c>
      <c r="BX129" s="70">
        <v>0</v>
      </c>
      <c r="BY129" s="70"/>
      <c r="BZ129" s="70"/>
      <c r="CA129" s="70"/>
      <c r="CB129" s="70">
        <v>0</v>
      </c>
      <c r="CC129" s="70">
        <v>0</v>
      </c>
      <c r="CD129" s="70">
        <v>0</v>
      </c>
      <c r="CE129" s="70"/>
      <c r="CF129" s="70"/>
      <c r="CG129" s="70"/>
      <c r="CH129" s="70">
        <v>0</v>
      </c>
      <c r="CI129" s="70"/>
      <c r="CJ129" s="70">
        <v>0</v>
      </c>
      <c r="CK129" s="70">
        <v>0</v>
      </c>
      <c r="CL129" s="70">
        <v>0</v>
      </c>
      <c r="CM129" s="47">
        <v>120</v>
      </c>
      <c r="CN129" s="47">
        <v>101</v>
      </c>
      <c r="CP129" s="504">
        <v>30</v>
      </c>
      <c r="CQ129" s="504">
        <v>30.4</v>
      </c>
      <c r="CR129" s="258">
        <v>42157</v>
      </c>
      <c r="CS129" s="258">
        <v>42185</v>
      </c>
      <c r="CT129" s="78">
        <v>27</v>
      </c>
      <c r="CU129" s="79">
        <v>44300</v>
      </c>
      <c r="CV129" s="307">
        <v>0</v>
      </c>
      <c r="CW129" s="258"/>
      <c r="CX129" s="307">
        <v>0</v>
      </c>
      <c r="CY129" s="307">
        <v>0</v>
      </c>
      <c r="CZ129" s="307">
        <v>0</v>
      </c>
      <c r="DA129" s="258"/>
      <c r="DB129" s="307">
        <v>0</v>
      </c>
      <c r="DC129" s="258"/>
      <c r="DD129" s="307">
        <v>0</v>
      </c>
      <c r="DE129" s="258"/>
      <c r="DF129" s="307">
        <v>0</v>
      </c>
      <c r="DG129" s="258"/>
      <c r="DH129" s="258"/>
      <c r="DI129" s="70"/>
      <c r="DJ129" s="70">
        <v>0</v>
      </c>
      <c r="DK129" s="308"/>
      <c r="DL129" s="255"/>
      <c r="DM129" s="70"/>
      <c r="DN129" s="70"/>
      <c r="DO129" s="70"/>
      <c r="DP129" s="70"/>
      <c r="DQ129" s="70"/>
      <c r="DR129" s="70"/>
      <c r="DS129" s="70"/>
      <c r="DT129" s="70"/>
      <c r="DU129" s="70"/>
      <c r="DV129" s="70"/>
      <c r="DW129" s="70"/>
      <c r="DX129" s="70"/>
      <c r="DY129" s="70"/>
      <c r="DZ129" s="70"/>
      <c r="EA129" s="70"/>
      <c r="EB129" s="70"/>
      <c r="EC129" s="70"/>
      <c r="ED129" s="70"/>
      <c r="EE129" s="70"/>
      <c r="EF129" s="70"/>
      <c r="EG129" s="70"/>
      <c r="EH129" s="70"/>
      <c r="EI129" s="70"/>
    </row>
    <row r="130" spans="1:139" s="47" customFormat="1" ht="39.75" customHeight="1">
      <c r="A130" s="50">
        <v>242</v>
      </c>
      <c r="B130" s="310">
        <v>42146</v>
      </c>
      <c r="C130" s="55">
        <v>42146.336111111108</v>
      </c>
      <c r="D130" s="311" t="s">
        <v>613</v>
      </c>
      <c r="E130" s="312" t="s">
        <v>614</v>
      </c>
      <c r="F130" s="47" t="b">
        <v>1</v>
      </c>
      <c r="H130" s="312" t="s">
        <v>418</v>
      </c>
      <c r="I130" s="313" t="s">
        <v>615</v>
      </c>
      <c r="J130" s="309">
        <v>68.531506849315065</v>
      </c>
      <c r="K130" s="181">
        <v>822.28796844181454</v>
      </c>
      <c r="L130" s="301" t="s">
        <v>419</v>
      </c>
      <c r="M130" s="303" t="s">
        <v>616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30">
        <v>0</v>
      </c>
      <c r="AK130" s="323">
        <f t="shared" si="2"/>
        <v>1</v>
      </c>
      <c r="AL130" s="303" t="s">
        <v>1831</v>
      </c>
      <c r="AM130" s="304">
        <v>42137</v>
      </c>
      <c r="AN130" s="305" t="s">
        <v>1832</v>
      </c>
      <c r="AO130" s="54">
        <v>42174</v>
      </c>
      <c r="AP130" s="306" t="s">
        <v>1833</v>
      </c>
      <c r="AQ130" s="304">
        <v>42122</v>
      </c>
      <c r="AR130" s="305">
        <v>1</v>
      </c>
      <c r="AS130" s="305" t="s">
        <v>1834</v>
      </c>
      <c r="AT130" s="330">
        <v>0</v>
      </c>
      <c r="AU130" s="305">
        <v>0</v>
      </c>
      <c r="AV130" s="305">
        <v>0</v>
      </c>
      <c r="AW130" s="305">
        <v>1</v>
      </c>
      <c r="AX130" s="302" t="s">
        <v>617</v>
      </c>
      <c r="AY130" s="302"/>
      <c r="AZ130" s="193"/>
      <c r="BA130" s="47">
        <v>0</v>
      </c>
      <c r="BB130" s="69">
        <v>1</v>
      </c>
      <c r="BC130" s="69"/>
      <c r="BD130" s="69">
        <v>0</v>
      </c>
      <c r="BE130" s="69">
        <v>1</v>
      </c>
      <c r="BF130" s="234">
        <v>0</v>
      </c>
      <c r="BG130" s="766">
        <v>0</v>
      </c>
      <c r="BH130" s="766"/>
      <c r="BI130" s="223">
        <v>0</v>
      </c>
      <c r="BJ130" s="70"/>
      <c r="BK130" s="70">
        <v>0</v>
      </c>
      <c r="BL130" s="70"/>
      <c r="BM130" s="70">
        <v>0</v>
      </c>
      <c r="BN130" s="70"/>
      <c r="BO130" s="70">
        <v>0</v>
      </c>
      <c r="BP130" s="70">
        <v>0</v>
      </c>
      <c r="BQ130" s="70">
        <v>0</v>
      </c>
      <c r="BR130" s="70">
        <v>0</v>
      </c>
      <c r="BS130" s="240">
        <v>0</v>
      </c>
      <c r="BT130" s="252">
        <v>1</v>
      </c>
      <c r="BU130" s="253" t="s">
        <v>1835</v>
      </c>
      <c r="BV130" s="253">
        <v>0</v>
      </c>
      <c r="BW130" s="253">
        <v>0</v>
      </c>
      <c r="BX130" s="70">
        <v>0</v>
      </c>
      <c r="BY130" s="70"/>
      <c r="BZ130" s="70"/>
      <c r="CA130" s="70"/>
      <c r="CB130" s="70">
        <v>0</v>
      </c>
      <c r="CC130" s="70">
        <v>0</v>
      </c>
      <c r="CD130" s="70">
        <v>0</v>
      </c>
      <c r="CE130" s="70"/>
      <c r="CF130" s="70"/>
      <c r="CG130" s="70"/>
      <c r="CH130" s="70">
        <v>0</v>
      </c>
      <c r="CI130" s="70"/>
      <c r="CJ130" s="70">
        <v>0</v>
      </c>
      <c r="CK130" s="70">
        <v>0</v>
      </c>
      <c r="CL130" s="70">
        <v>0</v>
      </c>
      <c r="CM130" s="47">
        <v>119</v>
      </c>
      <c r="CN130" s="47">
        <v>91</v>
      </c>
      <c r="CP130" s="504">
        <v>30.9</v>
      </c>
      <c r="CQ130" s="504">
        <v>31.7</v>
      </c>
      <c r="CR130" s="258">
        <v>42122</v>
      </c>
      <c r="CS130" s="258">
        <v>42179</v>
      </c>
      <c r="CT130" s="78">
        <v>33</v>
      </c>
      <c r="CU130" s="79">
        <v>42328</v>
      </c>
      <c r="CV130" s="307">
        <v>1</v>
      </c>
      <c r="CW130" s="79">
        <v>42328</v>
      </c>
      <c r="CX130" s="307">
        <v>0</v>
      </c>
      <c r="CY130" s="307">
        <v>0</v>
      </c>
      <c r="CZ130" s="307">
        <v>1</v>
      </c>
      <c r="DA130" s="258" t="s">
        <v>1836</v>
      </c>
      <c r="DB130" s="307">
        <v>0</v>
      </c>
      <c r="DC130" s="258"/>
      <c r="DD130" s="307">
        <v>0</v>
      </c>
      <c r="DE130" s="258"/>
      <c r="DF130" s="307">
        <v>0</v>
      </c>
      <c r="DG130" s="258"/>
      <c r="DH130" s="258"/>
      <c r="DI130" s="70"/>
      <c r="DJ130" s="70">
        <v>1</v>
      </c>
      <c r="DK130" s="308">
        <v>5.982905982905983</v>
      </c>
      <c r="DL130" s="255"/>
      <c r="DM130" s="70" t="b">
        <v>1</v>
      </c>
      <c r="DN130" s="258">
        <v>42328</v>
      </c>
      <c r="DO130" s="301" t="s">
        <v>618</v>
      </c>
      <c r="DP130" s="70"/>
      <c r="DQ130" s="70"/>
      <c r="DR130" s="70"/>
      <c r="DS130" s="70"/>
      <c r="DT130" s="70"/>
      <c r="DU130" s="70"/>
      <c r="DV130" s="70"/>
      <c r="DW130" s="70"/>
      <c r="DX130" s="70"/>
      <c r="DY130" s="70"/>
      <c r="DZ130" s="70"/>
      <c r="EA130" s="70"/>
      <c r="EB130" s="70"/>
      <c r="EC130" s="70"/>
      <c r="ED130" s="70"/>
      <c r="EE130" s="70"/>
      <c r="EF130" s="70"/>
      <c r="EG130" s="70"/>
      <c r="EH130" s="70"/>
      <c r="EI130" s="70"/>
    </row>
    <row r="131" spans="1:139" s="47" customFormat="1" ht="39.75" customHeight="1">
      <c r="A131" s="50">
        <v>243</v>
      </c>
      <c r="B131" s="310">
        <v>42144</v>
      </c>
      <c r="C131" s="55">
        <v>42144.527083333334</v>
      </c>
      <c r="D131" s="311" t="s">
        <v>619</v>
      </c>
      <c r="E131" s="312" t="s">
        <v>620</v>
      </c>
      <c r="F131" s="47" t="b">
        <v>1</v>
      </c>
      <c r="H131" s="312" t="s">
        <v>441</v>
      </c>
      <c r="I131" s="313" t="s">
        <v>621</v>
      </c>
      <c r="J131" s="309">
        <v>41.328767123287669</v>
      </c>
      <c r="K131" s="181">
        <v>495.89086127547665</v>
      </c>
      <c r="L131" s="301" t="s">
        <v>419</v>
      </c>
      <c r="M131" s="318" t="s">
        <v>622</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v>0</v>
      </c>
      <c r="AK131" s="323">
        <f t="shared" ref="AK131:AK194" si="4">IF(P131&gt;25,1,0)</f>
        <v>0</v>
      </c>
      <c r="AL131" s="186"/>
      <c r="AM131" s="58">
        <v>42135</v>
      </c>
      <c r="AN131" s="52" t="s">
        <v>1530</v>
      </c>
      <c r="AO131" s="54">
        <v>42163</v>
      </c>
      <c r="AP131" s="50" t="s">
        <v>223</v>
      </c>
      <c r="AQ131" s="58"/>
      <c r="AR131" s="52">
        <v>0</v>
      </c>
      <c r="AS131" s="52"/>
      <c r="AT131" s="323">
        <v>0</v>
      </c>
      <c r="AU131" s="52">
        <v>0</v>
      </c>
      <c r="AV131" s="52">
        <v>0</v>
      </c>
      <c r="AW131" s="52">
        <v>1</v>
      </c>
      <c r="AX131" s="302" t="s">
        <v>623</v>
      </c>
      <c r="AY131" s="302"/>
      <c r="AZ131" s="193" t="s">
        <v>1837</v>
      </c>
      <c r="BA131" s="47">
        <v>0</v>
      </c>
      <c r="BB131" s="69">
        <v>1</v>
      </c>
      <c r="BC131" s="69">
        <v>10</v>
      </c>
      <c r="BD131" s="69">
        <v>0</v>
      </c>
      <c r="BE131" s="69">
        <v>0</v>
      </c>
      <c r="BF131" s="234">
        <v>0</v>
      </c>
      <c r="BG131" s="766">
        <v>0</v>
      </c>
      <c r="BH131" s="766"/>
      <c r="BI131" s="223">
        <v>1</v>
      </c>
      <c r="BJ131" s="70"/>
      <c r="BK131" s="70">
        <v>0</v>
      </c>
      <c r="BL131" s="70"/>
      <c r="BM131" s="70">
        <v>1</v>
      </c>
      <c r="BN131" s="70" t="s">
        <v>1838</v>
      </c>
      <c r="BO131" s="70">
        <v>0</v>
      </c>
      <c r="BP131" s="70">
        <v>1</v>
      </c>
      <c r="BQ131" s="70">
        <v>0</v>
      </c>
      <c r="BR131" s="70">
        <v>0</v>
      </c>
      <c r="BS131" s="240">
        <v>0</v>
      </c>
      <c r="BT131" s="223">
        <v>0</v>
      </c>
      <c r="BU131" s="70"/>
      <c r="BV131" s="70">
        <v>0</v>
      </c>
      <c r="BW131" s="70">
        <v>0</v>
      </c>
      <c r="BX131" s="70">
        <v>0</v>
      </c>
      <c r="BY131" s="70"/>
      <c r="BZ131" s="70"/>
      <c r="CA131" s="70"/>
      <c r="CB131" s="77">
        <v>0</v>
      </c>
      <c r="CC131" s="77">
        <v>0</v>
      </c>
      <c r="CD131" s="77">
        <v>0</v>
      </c>
      <c r="CE131" s="77"/>
      <c r="CF131" s="77"/>
      <c r="CG131" s="70"/>
      <c r="CH131" s="70">
        <v>0</v>
      </c>
      <c r="CI131" s="70"/>
      <c r="CJ131" s="70">
        <v>0</v>
      </c>
      <c r="CK131" s="70">
        <v>0</v>
      </c>
      <c r="CL131" s="70">
        <v>0</v>
      </c>
      <c r="CM131" s="47">
        <v>80</v>
      </c>
      <c r="CN131" s="47">
        <v>53</v>
      </c>
      <c r="CP131" s="504">
        <v>31.6</v>
      </c>
      <c r="CQ131" s="504">
        <v>33.5</v>
      </c>
      <c r="CR131" s="258">
        <v>42135</v>
      </c>
      <c r="CS131" s="258">
        <v>42159</v>
      </c>
      <c r="CT131" s="78">
        <v>15</v>
      </c>
      <c r="CU131" s="79">
        <v>43761</v>
      </c>
      <c r="CV131" s="307">
        <v>0</v>
      </c>
      <c r="CW131" s="258"/>
      <c r="CX131" s="307">
        <v>0</v>
      </c>
      <c r="CY131" s="307">
        <v>0</v>
      </c>
      <c r="CZ131" s="307">
        <v>0</v>
      </c>
      <c r="DA131" s="258"/>
      <c r="DB131" s="307">
        <v>0</v>
      </c>
      <c r="DC131" s="258"/>
      <c r="DD131" s="307">
        <v>0</v>
      </c>
      <c r="DE131" s="258"/>
      <c r="DF131" s="307">
        <v>0</v>
      </c>
      <c r="DG131" s="258"/>
      <c r="DH131" s="258"/>
      <c r="DI131" s="70"/>
      <c r="DJ131" s="70">
        <v>0</v>
      </c>
      <c r="DK131" s="308"/>
      <c r="DL131" s="255"/>
      <c r="DM131" s="70"/>
      <c r="DN131" s="70"/>
      <c r="DO131" s="70"/>
      <c r="DP131" s="70"/>
      <c r="DQ131" s="70"/>
      <c r="DR131" s="70"/>
      <c r="DS131" s="70"/>
      <c r="DT131" s="70"/>
      <c r="DU131" s="70"/>
      <c r="DV131" s="70"/>
      <c r="DW131" s="70"/>
      <c r="DX131" s="70"/>
      <c r="DY131" s="70"/>
      <c r="DZ131" s="70"/>
      <c r="EA131" s="70"/>
      <c r="EB131" s="70"/>
      <c r="EC131" s="70"/>
      <c r="ED131" s="70"/>
      <c r="EE131" s="70"/>
      <c r="EF131" s="70"/>
      <c r="EG131" s="70"/>
      <c r="EH131" s="70"/>
      <c r="EI131" s="70"/>
    </row>
    <row r="132" spans="1:139" s="47" customFormat="1" ht="39.75" customHeight="1">
      <c r="A132" s="50">
        <v>244</v>
      </c>
      <c r="B132" s="310">
        <v>42128</v>
      </c>
      <c r="C132" s="55">
        <v>42128.295138888891</v>
      </c>
      <c r="D132" s="311" t="s">
        <v>624</v>
      </c>
      <c r="E132" s="312" t="s">
        <v>625</v>
      </c>
      <c r="F132" s="47" t="b">
        <v>1</v>
      </c>
      <c r="H132" s="312" t="s">
        <v>418</v>
      </c>
      <c r="I132" s="313" t="s">
        <v>626</v>
      </c>
      <c r="J132" s="309">
        <v>58.301369863013697</v>
      </c>
      <c r="K132" s="181">
        <v>699.5397764628533</v>
      </c>
      <c r="L132" s="301" t="s">
        <v>442</v>
      </c>
      <c r="M132" s="303" t="s">
        <v>627</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v>0</v>
      </c>
      <c r="AK132" s="323">
        <f t="shared" si="4"/>
        <v>0</v>
      </c>
      <c r="AL132" s="186"/>
      <c r="AM132" s="58">
        <v>42123</v>
      </c>
      <c r="AN132" s="52" t="s">
        <v>1839</v>
      </c>
      <c r="AO132" s="54">
        <v>42141</v>
      </c>
      <c r="AP132" s="50" t="s">
        <v>223</v>
      </c>
      <c r="AQ132" s="58"/>
      <c r="AR132" s="52">
        <v>0</v>
      </c>
      <c r="AS132" s="52"/>
      <c r="AT132" s="323">
        <v>0</v>
      </c>
      <c r="AU132" s="52">
        <v>0</v>
      </c>
      <c r="AV132" s="52">
        <v>0</v>
      </c>
      <c r="AW132" s="52">
        <v>1</v>
      </c>
      <c r="AX132" s="305" t="s">
        <v>628</v>
      </c>
      <c r="AY132" s="305"/>
      <c r="AZ132" s="193" t="s">
        <v>1840</v>
      </c>
      <c r="BA132" s="47">
        <v>0</v>
      </c>
      <c r="BB132" s="69">
        <v>1</v>
      </c>
      <c r="BC132" s="69"/>
      <c r="BD132" s="69">
        <v>0</v>
      </c>
      <c r="BE132" s="69">
        <v>0</v>
      </c>
      <c r="BF132" s="234">
        <v>0</v>
      </c>
      <c r="BG132" s="766">
        <v>0</v>
      </c>
      <c r="BH132" s="766"/>
      <c r="BI132" s="223">
        <v>1</v>
      </c>
      <c r="BJ132" s="70"/>
      <c r="BK132" s="70">
        <v>0</v>
      </c>
      <c r="BL132" s="70"/>
      <c r="BM132" s="70">
        <v>1</v>
      </c>
      <c r="BN132" s="70" t="s">
        <v>1841</v>
      </c>
      <c r="BO132" s="70">
        <v>1</v>
      </c>
      <c r="BP132" s="70">
        <v>0</v>
      </c>
      <c r="BQ132" s="70">
        <v>0</v>
      </c>
      <c r="BR132" s="70">
        <v>0</v>
      </c>
      <c r="BS132" s="240">
        <v>0</v>
      </c>
      <c r="BT132" s="223">
        <v>0</v>
      </c>
      <c r="BU132" s="70"/>
      <c r="BV132" s="70">
        <v>0</v>
      </c>
      <c r="BW132" s="70">
        <v>0</v>
      </c>
      <c r="BX132" s="70">
        <v>0</v>
      </c>
      <c r="BY132" s="70"/>
      <c r="BZ132" s="70"/>
      <c r="CA132" s="70"/>
      <c r="CB132" s="77">
        <v>0</v>
      </c>
      <c r="CC132" s="77">
        <v>0</v>
      </c>
      <c r="CD132" s="77">
        <v>0</v>
      </c>
      <c r="CE132" s="77"/>
      <c r="CF132" s="77"/>
      <c r="CG132" s="70"/>
      <c r="CH132" s="70">
        <v>0</v>
      </c>
      <c r="CI132" s="70"/>
      <c r="CJ132" s="70">
        <v>0</v>
      </c>
      <c r="CK132" s="70">
        <v>0</v>
      </c>
      <c r="CL132" s="70">
        <v>0</v>
      </c>
      <c r="CM132" s="47">
        <v>58</v>
      </c>
      <c r="CN132" s="47">
        <v>45</v>
      </c>
      <c r="CP132" s="504">
        <v>32.5</v>
      </c>
      <c r="CQ132" s="504">
        <v>33.5</v>
      </c>
      <c r="CR132" s="258">
        <v>42119</v>
      </c>
      <c r="CS132" s="258">
        <v>42144</v>
      </c>
      <c r="CT132" s="78">
        <v>16</v>
      </c>
      <c r="CU132" s="79">
        <v>43724</v>
      </c>
      <c r="CV132" s="307">
        <v>0</v>
      </c>
      <c r="CW132" s="258"/>
      <c r="CX132" s="307">
        <v>0</v>
      </c>
      <c r="CY132" s="307">
        <v>0</v>
      </c>
      <c r="CZ132" s="307">
        <v>0</v>
      </c>
      <c r="DA132" s="258"/>
      <c r="DB132" s="307">
        <v>0</v>
      </c>
      <c r="DC132" s="258"/>
      <c r="DD132" s="307">
        <v>0</v>
      </c>
      <c r="DE132" s="258"/>
      <c r="DF132" s="307">
        <v>0</v>
      </c>
      <c r="DG132" s="258"/>
      <c r="DH132" s="258"/>
      <c r="DI132" s="70"/>
      <c r="DJ132" s="70">
        <v>0</v>
      </c>
      <c r="DK132" s="308"/>
      <c r="DL132" s="70"/>
      <c r="DM132" s="70"/>
      <c r="DN132" s="70"/>
      <c r="DO132" s="70"/>
      <c r="DP132" s="70"/>
      <c r="DQ132" s="70"/>
      <c r="DR132" s="70"/>
      <c r="DS132" s="70"/>
      <c r="DT132" s="70"/>
      <c r="DU132" s="70"/>
      <c r="DV132" s="70"/>
      <c r="DW132" s="70"/>
      <c r="DX132" s="70"/>
      <c r="DY132" s="70"/>
      <c r="DZ132" s="70"/>
      <c r="EA132" s="70"/>
      <c r="EB132" s="70"/>
      <c r="EC132" s="70"/>
      <c r="ED132" s="70"/>
      <c r="EE132" s="70"/>
      <c r="EF132" s="70"/>
      <c r="EG132" s="70"/>
      <c r="EH132" s="70"/>
      <c r="EI132" s="70"/>
    </row>
    <row r="133" spans="1:139" s="48" customFormat="1" ht="39.75" customHeight="1">
      <c r="A133" s="60">
        <v>247</v>
      </c>
      <c r="B133" s="102">
        <v>42100</v>
      </c>
      <c r="C133" s="62">
        <v>42100.29583333333</v>
      </c>
      <c r="D133" s="103" t="s">
        <v>629</v>
      </c>
      <c r="E133" s="104" t="s">
        <v>630</v>
      </c>
      <c r="F133" s="48" t="b">
        <v>0</v>
      </c>
      <c r="G133" s="48" t="s">
        <v>1487</v>
      </c>
      <c r="H133" s="104" t="s">
        <v>418</v>
      </c>
      <c r="I133" s="314" t="s">
        <v>631</v>
      </c>
      <c r="J133" s="110">
        <v>56.832876712328769</v>
      </c>
      <c r="K133" s="85">
        <v>681.91978961209725</v>
      </c>
      <c r="L133" s="106" t="s">
        <v>493</v>
      </c>
      <c r="M133" s="315" t="s">
        <v>632</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31"/>
      <c r="AK133" s="324">
        <f t="shared" si="4"/>
        <v>0</v>
      </c>
      <c r="AL133" s="315"/>
      <c r="AM133" s="319"/>
      <c r="AN133" s="111"/>
      <c r="AO133" s="61"/>
      <c r="AP133" s="112"/>
      <c r="AQ133" s="319"/>
      <c r="AR133" s="111"/>
      <c r="AS133" s="111"/>
      <c r="AT133" s="331"/>
      <c r="AU133" s="111"/>
      <c r="AV133" s="111"/>
      <c r="AW133" s="111"/>
      <c r="AX133" s="111" t="s">
        <v>633</v>
      </c>
      <c r="AY133" s="316"/>
      <c r="AZ133" s="91"/>
      <c r="BB133" s="82"/>
      <c r="BC133" s="82"/>
      <c r="BD133" s="82"/>
      <c r="BE133" s="82"/>
      <c r="BF133" s="235"/>
      <c r="BG133" s="767"/>
      <c r="BH133" s="767"/>
      <c r="BI133" s="224"/>
      <c r="BJ133" s="71"/>
      <c r="BK133" s="71"/>
      <c r="BL133" s="71"/>
      <c r="BM133" s="71"/>
      <c r="BN133" s="71"/>
      <c r="BO133" s="71"/>
      <c r="BP133" s="71"/>
      <c r="BQ133" s="71"/>
      <c r="BR133" s="71"/>
      <c r="BS133" s="241"/>
      <c r="BT133" s="224" t="s">
        <v>174</v>
      </c>
      <c r="BU133" s="71"/>
      <c r="BV133" s="71"/>
      <c r="BW133" s="71"/>
      <c r="BX133" s="71"/>
      <c r="BY133" s="71"/>
      <c r="BZ133" s="71"/>
      <c r="CA133" s="71"/>
      <c r="CB133" s="71"/>
      <c r="CC133" s="71"/>
      <c r="CD133" s="71"/>
      <c r="CE133" s="71"/>
      <c r="CF133" s="71"/>
      <c r="CG133" s="71"/>
      <c r="CH133" s="71"/>
      <c r="CI133" s="71"/>
      <c r="CJ133" s="71"/>
      <c r="CK133" s="71"/>
      <c r="CL133" s="71"/>
      <c r="CM133" s="48">
        <v>123</v>
      </c>
      <c r="CN133" s="48">
        <v>99</v>
      </c>
      <c r="CP133" s="505">
        <v>29</v>
      </c>
      <c r="CQ133" s="505">
        <v>30.4</v>
      </c>
      <c r="CR133" s="108">
        <v>42084</v>
      </c>
      <c r="CS133" s="108">
        <v>42118</v>
      </c>
      <c r="CT133" s="83">
        <v>18</v>
      </c>
      <c r="CU133" s="84"/>
      <c r="CV133" s="109"/>
      <c r="CW133" s="108"/>
      <c r="CX133" s="109"/>
      <c r="CY133" s="109"/>
      <c r="CZ133" s="109"/>
      <c r="DA133" s="108"/>
      <c r="DB133" s="109"/>
      <c r="DC133" s="108"/>
      <c r="DD133" s="109"/>
      <c r="DE133" s="108"/>
      <c r="DF133" s="109"/>
      <c r="DG133" s="108"/>
      <c r="DH133" s="108"/>
      <c r="DI133" s="71"/>
      <c r="DJ133" s="71">
        <v>0</v>
      </c>
      <c r="DK133" s="113"/>
      <c r="DL133" s="110"/>
      <c r="DM133" s="71"/>
      <c r="DN133" s="71"/>
      <c r="DO133" s="71"/>
      <c r="DP133" s="71"/>
      <c r="DQ133" s="71"/>
      <c r="DR133" s="71"/>
      <c r="DS133" s="71"/>
      <c r="DT133" s="71"/>
      <c r="DU133" s="71"/>
      <c r="DV133" s="71"/>
      <c r="DW133" s="71"/>
      <c r="DX133" s="71"/>
      <c r="DY133" s="71"/>
      <c r="DZ133" s="71"/>
      <c r="EA133" s="71"/>
      <c r="EB133" s="71"/>
      <c r="EC133" s="71"/>
      <c r="ED133" s="71"/>
      <c r="EE133" s="71"/>
      <c r="EF133" s="71"/>
      <c r="EG133" s="71"/>
      <c r="EH133" s="71"/>
      <c r="EI133" s="71"/>
    </row>
    <row r="134" spans="1:139" s="48" customFormat="1" ht="39.75" customHeight="1">
      <c r="A134" s="60">
        <v>252</v>
      </c>
      <c r="B134" s="102">
        <v>42067</v>
      </c>
      <c r="C134" s="62">
        <v>42067.522222222222</v>
      </c>
      <c r="D134" s="103" t="s">
        <v>634</v>
      </c>
      <c r="E134" s="104" t="s">
        <v>635</v>
      </c>
      <c r="F134" s="48" t="b">
        <v>0</v>
      </c>
      <c r="G134" s="48" t="s">
        <v>1674</v>
      </c>
      <c r="H134" s="104" t="s">
        <v>418</v>
      </c>
      <c r="I134" s="104" t="s">
        <v>636</v>
      </c>
      <c r="J134" s="105">
        <v>23.487671232876714</v>
      </c>
      <c r="K134" s="85">
        <v>281.82117028270875</v>
      </c>
      <c r="L134" s="106" t="s">
        <v>493</v>
      </c>
      <c r="M134" s="315" t="s">
        <v>637</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c r="AK134" s="324">
        <f t="shared" si="4"/>
        <v>0</v>
      </c>
      <c r="AL134" s="187" t="s">
        <v>638</v>
      </c>
      <c r="AM134" s="191"/>
      <c r="AN134" s="51"/>
      <c r="AO134" s="61"/>
      <c r="AP134" s="60"/>
      <c r="AQ134" s="191"/>
      <c r="AR134" s="51"/>
      <c r="AS134" s="51"/>
      <c r="AT134" s="324"/>
      <c r="AU134" s="51">
        <v>0</v>
      </c>
      <c r="AV134" s="51">
        <v>0</v>
      </c>
      <c r="AW134" s="51">
        <v>0</v>
      </c>
      <c r="AX134" s="111" t="s">
        <v>639</v>
      </c>
      <c r="AY134" s="112">
        <v>0</v>
      </c>
      <c r="AZ134" s="91">
        <v>1</v>
      </c>
      <c r="BB134" s="82">
        <v>0</v>
      </c>
      <c r="BC134" s="82" t="e">
        <v>#REF!</v>
      </c>
      <c r="BD134" s="82">
        <v>0</v>
      </c>
      <c r="BE134" s="82">
        <v>0</v>
      </c>
      <c r="BF134" s="235">
        <v>0</v>
      </c>
      <c r="BG134" s="767"/>
      <c r="BH134" s="767"/>
      <c r="BI134" s="224">
        <v>1</v>
      </c>
      <c r="BJ134" s="71"/>
      <c r="BK134" s="71"/>
      <c r="BL134" s="71"/>
      <c r="BM134" s="71"/>
      <c r="BN134" s="71"/>
      <c r="BO134" s="71"/>
      <c r="BP134" s="71"/>
      <c r="BQ134" s="71"/>
      <c r="BR134" s="71"/>
      <c r="BS134" s="241" t="s">
        <v>261</v>
      </c>
      <c r="BT134" s="224"/>
      <c r="BU134" s="71"/>
      <c r="BV134" s="71"/>
      <c r="BW134" s="71"/>
      <c r="BX134" s="71">
        <v>0</v>
      </c>
      <c r="BY134" s="71"/>
      <c r="BZ134" s="71"/>
      <c r="CA134" s="71" t="e">
        <v>#REF!</v>
      </c>
      <c r="CB134" s="86">
        <v>0</v>
      </c>
      <c r="CC134" s="86"/>
      <c r="CD134" s="86"/>
      <c r="CE134" s="86"/>
      <c r="CF134" s="86"/>
      <c r="CG134" s="71"/>
      <c r="CH134" s="71"/>
      <c r="CI134" s="71"/>
      <c r="CJ134" s="71"/>
      <c r="CK134" s="71"/>
      <c r="CL134" s="71"/>
      <c r="CM134" s="48">
        <v>75</v>
      </c>
      <c r="CN134" s="48">
        <v>55</v>
      </c>
      <c r="CP134" s="505">
        <v>31.2</v>
      </c>
      <c r="CQ134" s="505">
        <v>32.6</v>
      </c>
      <c r="CR134" s="108">
        <v>42062</v>
      </c>
      <c r="CS134" s="108">
        <v>42075</v>
      </c>
      <c r="CT134" s="83">
        <v>8</v>
      </c>
      <c r="CU134" s="84"/>
      <c r="CV134" s="109"/>
      <c r="CW134" s="108"/>
      <c r="CX134" s="109"/>
      <c r="CY134" s="109"/>
      <c r="CZ134" s="109"/>
      <c r="DA134" s="108"/>
      <c r="DB134" s="109"/>
      <c r="DC134" s="108"/>
      <c r="DD134" s="109"/>
      <c r="DE134" s="108"/>
      <c r="DF134" s="109"/>
      <c r="DG134" s="108"/>
      <c r="DH134" s="67" t="s">
        <v>448</v>
      </c>
      <c r="DI134" s="71"/>
      <c r="DJ134" s="71">
        <v>0</v>
      </c>
      <c r="DK134" s="113"/>
      <c r="DL134" s="110"/>
      <c r="DM134" s="71"/>
      <c r="DN134" s="71"/>
      <c r="DO134" s="71"/>
      <c r="DP134" s="71"/>
      <c r="DQ134" s="71"/>
      <c r="DR134" s="71"/>
      <c r="DS134" s="71"/>
      <c r="DT134" s="71"/>
      <c r="DU134" s="71"/>
      <c r="DV134" s="71"/>
      <c r="DW134" s="71"/>
      <c r="DX134" s="71"/>
      <c r="DY134" s="71"/>
      <c r="DZ134" s="71"/>
      <c r="EA134" s="71"/>
      <c r="EB134" s="71"/>
      <c r="EC134" s="71"/>
      <c r="ED134" s="71"/>
      <c r="EE134" s="71"/>
      <c r="EF134" s="71"/>
      <c r="EG134" s="71"/>
      <c r="EH134" s="71"/>
      <c r="EI134" s="71"/>
    </row>
    <row r="135" spans="1:139" s="47" customFormat="1" ht="39.75" customHeight="1">
      <c r="A135" s="50">
        <v>253</v>
      </c>
      <c r="B135" s="310">
        <v>42063</v>
      </c>
      <c r="C135" s="55">
        <v>42063.415277777778</v>
      </c>
      <c r="D135" s="311" t="s">
        <v>640</v>
      </c>
      <c r="E135" s="312" t="s">
        <v>641</v>
      </c>
      <c r="F135" s="47" t="b">
        <v>1</v>
      </c>
      <c r="H135" s="312" t="s">
        <v>418</v>
      </c>
      <c r="I135" s="313" t="s">
        <v>642</v>
      </c>
      <c r="J135" s="255">
        <v>35.753424657534246</v>
      </c>
      <c r="K135" s="181">
        <v>428.99408284023667</v>
      </c>
      <c r="L135" s="301" t="s">
        <v>419</v>
      </c>
      <c r="M135" s="318" t="s">
        <v>643</v>
      </c>
      <c r="N135" s="47">
        <v>174</v>
      </c>
      <c r="O135" s="47">
        <v>64.8</v>
      </c>
      <c r="P135" s="47">
        <f t="shared" si="5"/>
        <v>21.403091557669441</v>
      </c>
      <c r="Q135" s="304">
        <v>42053</v>
      </c>
      <c r="R135" s="47">
        <v>0</v>
      </c>
      <c r="S135" s="47">
        <v>0</v>
      </c>
      <c r="T135" s="47">
        <v>1</v>
      </c>
      <c r="U135" s="47">
        <v>1</v>
      </c>
      <c r="V135" s="302">
        <v>0</v>
      </c>
      <c r="W135" s="47">
        <v>0</v>
      </c>
      <c r="X135" s="47">
        <v>0</v>
      </c>
      <c r="Y135" s="215">
        <v>1</v>
      </c>
      <c r="Z135" s="335" t="s">
        <v>1842</v>
      </c>
      <c r="AA135" s="323" t="s">
        <v>1842</v>
      </c>
      <c r="AB135" s="323" t="s">
        <v>1842</v>
      </c>
      <c r="AC135" s="323" t="s">
        <v>1842</v>
      </c>
      <c r="AD135" s="323" t="s">
        <v>1842</v>
      </c>
      <c r="AE135" s="323" t="s">
        <v>1842</v>
      </c>
      <c r="AF135" s="323" t="s">
        <v>1842</v>
      </c>
      <c r="AG135" s="323" t="s">
        <v>1842</v>
      </c>
      <c r="AH135" s="323" t="s">
        <v>1842</v>
      </c>
      <c r="AI135" s="323" t="s">
        <v>1843</v>
      </c>
      <c r="AJ135" s="323">
        <v>0</v>
      </c>
      <c r="AK135" s="323">
        <f t="shared" si="4"/>
        <v>0</v>
      </c>
      <c r="AL135" s="318"/>
      <c r="AM135" s="58">
        <v>42062</v>
      </c>
      <c r="AN135" s="302" t="s">
        <v>1844</v>
      </c>
      <c r="AO135" s="54">
        <v>42104</v>
      </c>
      <c r="AP135" s="301" t="s">
        <v>1845</v>
      </c>
      <c r="AQ135" s="304"/>
      <c r="AR135" s="302" t="s">
        <v>1842</v>
      </c>
      <c r="AS135" s="302"/>
      <c r="AT135" s="330" t="s">
        <v>1842</v>
      </c>
      <c r="AU135" s="330">
        <v>1</v>
      </c>
      <c r="AV135" s="330" t="s">
        <v>1842</v>
      </c>
      <c r="AW135" s="330">
        <v>1</v>
      </c>
      <c r="AX135" s="302" t="s">
        <v>644</v>
      </c>
      <c r="AY135" s="302"/>
      <c r="AZ135" s="193" t="s">
        <v>1846</v>
      </c>
      <c r="BA135" s="47">
        <v>0</v>
      </c>
      <c r="BB135" s="69">
        <v>1</v>
      </c>
      <c r="BC135" s="69"/>
      <c r="BD135" s="69">
        <v>0</v>
      </c>
      <c r="BE135" s="69">
        <v>0</v>
      </c>
      <c r="BF135" s="234">
        <v>0</v>
      </c>
      <c r="BG135" s="766">
        <v>1</v>
      </c>
      <c r="BH135" s="766" t="s">
        <v>2004</v>
      </c>
      <c r="BI135" s="223">
        <v>0</v>
      </c>
      <c r="BJ135" s="70"/>
      <c r="BK135" s="70">
        <v>0</v>
      </c>
      <c r="BL135" s="70"/>
      <c r="BM135" s="70">
        <v>0</v>
      </c>
      <c r="BN135" s="70"/>
      <c r="BO135" s="70">
        <v>0</v>
      </c>
      <c r="BP135" s="70">
        <v>0</v>
      </c>
      <c r="BQ135" s="70">
        <v>0</v>
      </c>
      <c r="BR135" s="70">
        <v>0</v>
      </c>
      <c r="BS135" s="240">
        <v>0</v>
      </c>
      <c r="BT135" s="223">
        <v>1</v>
      </c>
      <c r="BU135" s="70" t="s">
        <v>1847</v>
      </c>
      <c r="BV135" s="70">
        <v>0</v>
      </c>
      <c r="BW135" s="70">
        <v>1</v>
      </c>
      <c r="BX135" s="70">
        <v>0</v>
      </c>
      <c r="BY135" s="70"/>
      <c r="BZ135" s="70"/>
      <c r="CA135" s="70" t="s">
        <v>1848</v>
      </c>
      <c r="CB135" s="70">
        <v>0</v>
      </c>
      <c r="CC135" s="70">
        <v>0</v>
      </c>
      <c r="CD135" s="70">
        <v>0</v>
      </c>
      <c r="CE135" s="70"/>
      <c r="CF135" s="70"/>
      <c r="CG135" s="70"/>
      <c r="CH135" s="70">
        <v>0</v>
      </c>
      <c r="CI135" s="70"/>
      <c r="CJ135" s="70">
        <v>0</v>
      </c>
      <c r="CK135" s="70">
        <v>0</v>
      </c>
      <c r="CL135" s="70">
        <v>0</v>
      </c>
      <c r="CM135" s="47">
        <v>127</v>
      </c>
      <c r="CN135" s="47">
        <v>96</v>
      </c>
      <c r="CP135" s="504">
        <v>28.6</v>
      </c>
      <c r="CQ135" s="504">
        <v>31.2</v>
      </c>
      <c r="CR135" s="258">
        <v>42061</v>
      </c>
      <c r="CS135" s="258">
        <v>42075</v>
      </c>
      <c r="CT135" s="78">
        <v>12</v>
      </c>
      <c r="CU135" s="79">
        <v>44089</v>
      </c>
      <c r="CV135" s="307">
        <v>0</v>
      </c>
      <c r="CW135" s="258"/>
      <c r="CX135" s="307">
        <v>0</v>
      </c>
      <c r="CY135" s="307">
        <v>0</v>
      </c>
      <c r="CZ135" s="307">
        <v>0</v>
      </c>
      <c r="DA135" s="258"/>
      <c r="DB135" s="307">
        <v>0</v>
      </c>
      <c r="DC135" s="258"/>
      <c r="DD135" s="307">
        <v>0</v>
      </c>
      <c r="DE135" s="258"/>
      <c r="DF135" s="307">
        <v>0</v>
      </c>
      <c r="DG135" s="258"/>
      <c r="DH135" s="258"/>
      <c r="DI135" s="70"/>
      <c r="DJ135" s="70">
        <v>0</v>
      </c>
      <c r="DK135" s="308"/>
      <c r="DL135" s="255"/>
      <c r="DM135" s="70"/>
      <c r="DN135" s="70"/>
      <c r="DO135" s="70"/>
      <c r="DP135" s="70"/>
      <c r="DQ135" s="70"/>
      <c r="DR135" s="70"/>
      <c r="DS135" s="70"/>
      <c r="DT135" s="70"/>
      <c r="DU135" s="70"/>
      <c r="DV135" s="70"/>
      <c r="DW135" s="70"/>
      <c r="DX135" s="70"/>
      <c r="DY135" s="70"/>
      <c r="DZ135" s="70"/>
      <c r="EA135" s="70"/>
      <c r="EB135" s="70"/>
      <c r="EC135" s="70"/>
      <c r="ED135" s="70"/>
      <c r="EE135" s="70"/>
      <c r="EF135" s="70"/>
      <c r="EG135" s="70"/>
      <c r="EH135" s="70"/>
      <c r="EI135" s="70"/>
    </row>
    <row r="136" spans="1:139" s="48" customFormat="1" ht="39.75" customHeight="1">
      <c r="A136" s="60">
        <v>255</v>
      </c>
      <c r="B136" s="102">
        <v>42056</v>
      </c>
      <c r="C136" s="62">
        <v>42056.388194444444</v>
      </c>
      <c r="D136" s="103" t="s">
        <v>645</v>
      </c>
      <c r="E136" s="104" t="s">
        <v>646</v>
      </c>
      <c r="F136" s="48" t="b">
        <v>0</v>
      </c>
      <c r="G136" s="48" t="s">
        <v>1674</v>
      </c>
      <c r="H136" s="104" t="s">
        <v>418</v>
      </c>
      <c r="I136" s="314" t="s">
        <v>647</v>
      </c>
      <c r="J136" s="105">
        <v>75.906849315068499</v>
      </c>
      <c r="K136" s="85">
        <v>910.78238001314924</v>
      </c>
      <c r="L136" s="106" t="s">
        <v>419</v>
      </c>
      <c r="M136" s="333" t="s">
        <v>648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31"/>
      <c r="AK136" s="324">
        <f t="shared" si="4"/>
        <v>0</v>
      </c>
      <c r="AL136" s="333"/>
      <c r="AM136" s="319"/>
      <c r="AN136" s="316"/>
      <c r="AO136" s="61"/>
      <c r="AP136" s="106"/>
      <c r="AQ136" s="319"/>
      <c r="AR136" s="316"/>
      <c r="AS136" s="316"/>
      <c r="AT136" s="331"/>
      <c r="AU136" s="316"/>
      <c r="AV136" s="316"/>
      <c r="AW136" s="316"/>
      <c r="AX136" s="316" t="s">
        <v>649</v>
      </c>
      <c r="AY136" s="106"/>
      <c r="AZ136" s="91">
        <v>1</v>
      </c>
      <c r="BB136" s="82"/>
      <c r="BC136" s="82"/>
      <c r="BD136" s="82"/>
      <c r="BE136" s="82"/>
      <c r="BF136" s="235"/>
      <c r="BG136" s="767"/>
      <c r="BH136" s="767"/>
      <c r="BI136" s="224"/>
      <c r="BJ136" s="71"/>
      <c r="BK136" s="71"/>
      <c r="BL136" s="71"/>
      <c r="BM136" s="71"/>
      <c r="BN136" s="71"/>
      <c r="BO136" s="71"/>
      <c r="BP136" s="71"/>
      <c r="BQ136" s="71"/>
      <c r="BR136" s="71"/>
      <c r="BS136" s="241"/>
      <c r="BT136" s="239" t="s">
        <v>245</v>
      </c>
      <c r="BU136" s="118"/>
      <c r="BV136" s="118"/>
      <c r="BW136" s="118"/>
      <c r="BX136" s="71"/>
      <c r="BY136" s="71"/>
      <c r="BZ136" s="71"/>
      <c r="CA136" s="71"/>
      <c r="CB136" s="71"/>
      <c r="CC136" s="71"/>
      <c r="CD136" s="71"/>
      <c r="CE136" s="71"/>
      <c r="CF136" s="71"/>
      <c r="CG136" s="71"/>
      <c r="CH136" s="71"/>
      <c r="CI136" s="71"/>
      <c r="CJ136" s="71"/>
      <c r="CK136" s="71"/>
      <c r="CL136" s="71"/>
      <c r="CM136" s="48">
        <v>154</v>
      </c>
      <c r="CN136" s="48">
        <v>114</v>
      </c>
      <c r="CP136" s="505">
        <v>26.7</v>
      </c>
      <c r="CQ136" s="505">
        <v>28.1</v>
      </c>
      <c r="CR136" s="108">
        <v>42034</v>
      </c>
      <c r="CS136" s="108">
        <v>42080</v>
      </c>
      <c r="CT136" s="83">
        <v>24</v>
      </c>
      <c r="CU136" s="84"/>
      <c r="CV136" s="109"/>
      <c r="CW136" s="108"/>
      <c r="CX136" s="109"/>
      <c r="CY136" s="109"/>
      <c r="CZ136" s="109"/>
      <c r="DA136" s="108"/>
      <c r="DB136" s="109"/>
      <c r="DC136" s="108"/>
      <c r="DD136" s="109"/>
      <c r="DE136" s="108"/>
      <c r="DF136" s="109"/>
      <c r="DG136" s="108"/>
      <c r="DH136" s="108"/>
      <c r="DI136" s="71"/>
      <c r="DJ136" s="71">
        <v>0</v>
      </c>
      <c r="DK136" s="113"/>
      <c r="DL136" s="110"/>
      <c r="DM136" s="71"/>
      <c r="DN136" s="71"/>
      <c r="DO136" s="71"/>
      <c r="DP136" s="71"/>
      <c r="DQ136" s="71"/>
      <c r="DR136" s="71"/>
      <c r="DS136" s="71"/>
      <c r="DT136" s="71"/>
      <c r="DU136" s="71"/>
      <c r="DV136" s="71"/>
      <c r="DW136" s="71"/>
      <c r="DX136" s="71"/>
      <c r="DY136" s="71"/>
      <c r="DZ136" s="71"/>
      <c r="EA136" s="71"/>
      <c r="EB136" s="71"/>
      <c r="EC136" s="71"/>
      <c r="ED136" s="71"/>
      <c r="EE136" s="71"/>
      <c r="EF136" s="71"/>
      <c r="EG136" s="71"/>
      <c r="EH136" s="71"/>
      <c r="EI136" s="71"/>
    </row>
    <row r="137" spans="1:139" s="47" customFormat="1" ht="39.75" customHeight="1">
      <c r="A137" s="50">
        <v>258</v>
      </c>
      <c r="B137" s="310">
        <v>42021</v>
      </c>
      <c r="C137" s="55">
        <v>42021.444444444445</v>
      </c>
      <c r="D137" s="311" t="s">
        <v>650</v>
      </c>
      <c r="E137" s="312" t="s">
        <v>651</v>
      </c>
      <c r="F137" s="47" t="b">
        <v>1</v>
      </c>
      <c r="H137" s="351" t="s">
        <v>441</v>
      </c>
      <c r="I137" s="310">
        <v>33032</v>
      </c>
      <c r="J137" s="309">
        <v>24.627397260273973</v>
      </c>
      <c r="K137" s="181">
        <v>295.49638395792238</v>
      </c>
      <c r="L137" s="301" t="s">
        <v>419</v>
      </c>
      <c r="M137" s="318" t="s">
        <v>652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1842</v>
      </c>
      <c r="AA137" s="330" t="s">
        <v>1842</v>
      </c>
      <c r="AB137" s="330" t="s">
        <v>1842</v>
      </c>
      <c r="AC137" s="330" t="s">
        <v>1842</v>
      </c>
      <c r="AD137" s="330" t="s">
        <v>1842</v>
      </c>
      <c r="AE137" s="330" t="s">
        <v>1842</v>
      </c>
      <c r="AF137" s="330" t="s">
        <v>1842</v>
      </c>
      <c r="AG137" s="330" t="s">
        <v>1842</v>
      </c>
      <c r="AH137" s="330" t="s">
        <v>1842</v>
      </c>
      <c r="AI137" s="330" t="s">
        <v>1842</v>
      </c>
      <c r="AJ137" s="330">
        <v>0</v>
      </c>
      <c r="AK137" s="323">
        <f t="shared" si="4"/>
        <v>0</v>
      </c>
      <c r="AL137" s="318"/>
      <c r="AM137" s="304">
        <v>42012</v>
      </c>
      <c r="AN137" s="302" t="s">
        <v>1849</v>
      </c>
      <c r="AO137" s="54">
        <v>42040</v>
      </c>
      <c r="AP137" s="301" t="s">
        <v>1850</v>
      </c>
      <c r="AQ137" s="304">
        <v>42017</v>
      </c>
      <c r="AR137" s="302" t="s">
        <v>1842</v>
      </c>
      <c r="AS137" s="302"/>
      <c r="AT137" s="330">
        <v>0</v>
      </c>
      <c r="AU137" s="302" t="s">
        <v>1843</v>
      </c>
      <c r="AV137" s="302" t="s">
        <v>1842</v>
      </c>
      <c r="AW137" s="302" t="s">
        <v>1843</v>
      </c>
      <c r="AX137" s="305" t="s">
        <v>653</v>
      </c>
      <c r="AY137" s="305"/>
      <c r="AZ137" s="193" t="s">
        <v>1846</v>
      </c>
      <c r="BA137" s="47">
        <v>0</v>
      </c>
      <c r="BB137" s="69">
        <v>1</v>
      </c>
      <c r="BC137" s="69"/>
      <c r="BD137" s="69">
        <v>1</v>
      </c>
      <c r="BE137" s="69">
        <v>0</v>
      </c>
      <c r="BF137" s="234">
        <v>1</v>
      </c>
      <c r="BG137" s="766">
        <v>0</v>
      </c>
      <c r="BH137" s="766"/>
      <c r="BI137" s="223">
        <v>0</v>
      </c>
      <c r="BJ137" s="70"/>
      <c r="BK137" s="70">
        <v>0</v>
      </c>
      <c r="BL137" s="70"/>
      <c r="BM137" s="70">
        <v>0</v>
      </c>
      <c r="BN137" s="70"/>
      <c r="BO137" s="70">
        <v>0</v>
      </c>
      <c r="BP137" s="70">
        <v>0</v>
      </c>
      <c r="BQ137" s="70">
        <v>0</v>
      </c>
      <c r="BR137" s="70">
        <v>0</v>
      </c>
      <c r="BS137" s="240">
        <v>0</v>
      </c>
      <c r="BT137" s="252">
        <v>1</v>
      </c>
      <c r="BU137" s="253" t="s">
        <v>1851</v>
      </c>
      <c r="BV137" s="253">
        <v>0</v>
      </c>
      <c r="BW137" s="253">
        <v>0</v>
      </c>
      <c r="BX137" s="70">
        <v>0</v>
      </c>
      <c r="BY137" s="70"/>
      <c r="BZ137" s="70"/>
      <c r="CA137" s="70"/>
      <c r="CB137" s="70">
        <v>0</v>
      </c>
      <c r="CC137" s="70">
        <v>1</v>
      </c>
      <c r="CD137" s="70">
        <v>0</v>
      </c>
      <c r="CE137" s="70"/>
      <c r="CF137" s="70" t="s">
        <v>1852</v>
      </c>
      <c r="CG137" s="70" t="s">
        <v>1853</v>
      </c>
      <c r="CH137" s="70">
        <v>0</v>
      </c>
      <c r="CI137" s="70"/>
      <c r="CJ137" s="70">
        <v>0</v>
      </c>
      <c r="CK137" s="70">
        <v>0</v>
      </c>
      <c r="CL137" s="70">
        <v>0</v>
      </c>
      <c r="CM137" s="47">
        <v>111</v>
      </c>
      <c r="CN137" s="47">
        <v>78</v>
      </c>
      <c r="CP137" s="504">
        <v>28.6</v>
      </c>
      <c r="CQ137" s="504">
        <v>30.8</v>
      </c>
      <c r="CR137" s="258">
        <v>42019</v>
      </c>
      <c r="CS137" s="258">
        <v>42033</v>
      </c>
      <c r="CT137" s="78">
        <v>12</v>
      </c>
      <c r="CU137" s="79">
        <v>44055</v>
      </c>
      <c r="CV137" s="307">
        <v>0</v>
      </c>
      <c r="CW137" s="258"/>
      <c r="CX137" s="307">
        <v>0</v>
      </c>
      <c r="CY137" s="307">
        <v>0</v>
      </c>
      <c r="CZ137" s="307">
        <v>0</v>
      </c>
      <c r="DA137" s="258"/>
      <c r="DB137" s="307">
        <v>0</v>
      </c>
      <c r="DC137" s="258"/>
      <c r="DD137" s="307">
        <v>0</v>
      </c>
      <c r="DE137" s="258"/>
      <c r="DF137" s="307">
        <v>0</v>
      </c>
      <c r="DG137" s="258"/>
      <c r="DH137" s="258"/>
      <c r="DI137" s="70"/>
      <c r="DJ137" s="70">
        <v>0</v>
      </c>
      <c r="DK137" s="308"/>
      <c r="DL137" s="255"/>
      <c r="DM137" s="70"/>
      <c r="DN137" s="70"/>
      <c r="DO137" s="70"/>
      <c r="DP137" s="70"/>
      <c r="DQ137" s="70"/>
      <c r="DR137" s="70"/>
      <c r="DS137" s="70"/>
      <c r="DT137" s="70"/>
      <c r="DU137" s="70"/>
      <c r="DV137" s="70"/>
      <c r="DW137" s="70"/>
      <c r="DX137" s="70"/>
      <c r="DY137" s="70"/>
      <c r="DZ137" s="70"/>
      <c r="EA137" s="70"/>
      <c r="EB137" s="70"/>
      <c r="EC137" s="70"/>
      <c r="ED137" s="70"/>
      <c r="EE137" s="70"/>
      <c r="EF137" s="70"/>
      <c r="EG137" s="70"/>
      <c r="EH137" s="70"/>
      <c r="EI137" s="70"/>
    </row>
    <row r="138" spans="1:139" s="47" customFormat="1" ht="39.75" customHeight="1">
      <c r="A138" s="50">
        <v>261</v>
      </c>
      <c r="B138" s="352">
        <v>42001</v>
      </c>
      <c r="C138" s="55">
        <v>42001.416666666664</v>
      </c>
      <c r="D138" s="353">
        <v>11005251</v>
      </c>
      <c r="E138" s="354" t="s">
        <v>654</v>
      </c>
      <c r="F138" s="47" t="b">
        <v>1</v>
      </c>
      <c r="H138" s="70" t="s">
        <v>418</v>
      </c>
      <c r="I138" s="258">
        <v>16522</v>
      </c>
      <c r="J138" s="255">
        <v>69.805479452054797</v>
      </c>
      <c r="K138" s="181">
        <v>837.5739644970414</v>
      </c>
      <c r="L138" s="354" t="s">
        <v>419</v>
      </c>
      <c r="M138" s="355" t="s">
        <v>655</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57">
        <v>1</v>
      </c>
      <c r="AK138" s="323">
        <f t="shared" si="4"/>
        <v>0</v>
      </c>
      <c r="AL138" s="355" t="s">
        <v>1854</v>
      </c>
      <c r="AM138" s="358">
        <v>41993</v>
      </c>
      <c r="AN138" s="193" t="s">
        <v>1832</v>
      </c>
      <c r="AO138" s="54">
        <v>42043</v>
      </c>
      <c r="AP138" s="359" t="s">
        <v>1855</v>
      </c>
      <c r="AQ138" s="358">
        <v>41997</v>
      </c>
      <c r="AR138" s="193">
        <v>0</v>
      </c>
      <c r="AS138" s="193"/>
      <c r="AT138" s="357">
        <v>0</v>
      </c>
      <c r="AU138" s="193">
        <v>1</v>
      </c>
      <c r="AV138" s="193">
        <v>0</v>
      </c>
      <c r="AW138" s="193">
        <v>1</v>
      </c>
      <c r="AX138" s="359" t="s">
        <v>656</v>
      </c>
      <c r="AY138" s="193"/>
      <c r="AZ138" s="193" t="s">
        <v>1846</v>
      </c>
      <c r="BA138" s="47">
        <v>0</v>
      </c>
      <c r="BB138" s="69">
        <v>1</v>
      </c>
      <c r="BC138" s="69"/>
      <c r="BD138" s="69">
        <v>1</v>
      </c>
      <c r="BE138" s="69">
        <v>0</v>
      </c>
      <c r="BF138" s="234">
        <v>0</v>
      </c>
      <c r="BG138" s="766">
        <v>0</v>
      </c>
      <c r="BH138" s="766"/>
      <c r="BI138" s="223">
        <v>0</v>
      </c>
      <c r="BJ138" s="70"/>
      <c r="BK138" s="70">
        <v>0</v>
      </c>
      <c r="BL138" s="70"/>
      <c r="BM138" s="70">
        <v>0</v>
      </c>
      <c r="BN138" s="70"/>
      <c r="BO138" s="70">
        <v>0</v>
      </c>
      <c r="BP138" s="70">
        <v>0</v>
      </c>
      <c r="BQ138" s="70">
        <v>0</v>
      </c>
      <c r="BR138" s="70">
        <v>0</v>
      </c>
      <c r="BS138" s="240">
        <v>0</v>
      </c>
      <c r="BT138" s="252">
        <v>1</v>
      </c>
      <c r="BU138" s="253" t="s">
        <v>1856</v>
      </c>
      <c r="BV138" s="253">
        <v>0</v>
      </c>
      <c r="BW138" s="253">
        <v>0</v>
      </c>
      <c r="BX138" s="253">
        <v>0</v>
      </c>
      <c r="BY138" s="253"/>
      <c r="BZ138" s="253"/>
      <c r="CA138" s="253"/>
      <c r="CB138" s="70">
        <v>0</v>
      </c>
      <c r="CC138" s="70">
        <v>0</v>
      </c>
      <c r="CD138" s="70">
        <v>0</v>
      </c>
      <c r="CE138" s="70"/>
      <c r="CF138" s="70"/>
      <c r="CG138" s="70"/>
      <c r="CH138" s="70">
        <v>0</v>
      </c>
      <c r="CI138" s="70"/>
      <c r="CJ138" s="70">
        <v>0</v>
      </c>
      <c r="CK138" s="70">
        <v>0</v>
      </c>
      <c r="CL138" s="70">
        <v>0</v>
      </c>
      <c r="CM138" s="47">
        <v>94</v>
      </c>
      <c r="CN138" s="47">
        <v>64</v>
      </c>
      <c r="CP138" s="504">
        <v>30.2</v>
      </c>
      <c r="CQ138" s="504">
        <v>31.7</v>
      </c>
      <c r="CR138" s="258">
        <v>41997</v>
      </c>
      <c r="CS138" s="258">
        <v>42017</v>
      </c>
      <c r="CT138" s="78">
        <v>16</v>
      </c>
      <c r="CU138" s="79">
        <v>43202</v>
      </c>
      <c r="CV138" s="307">
        <v>0</v>
      </c>
      <c r="CW138" s="258"/>
      <c r="CX138" s="307">
        <v>0</v>
      </c>
      <c r="CY138" s="307">
        <v>0</v>
      </c>
      <c r="CZ138" s="307">
        <v>0</v>
      </c>
      <c r="DA138" s="258"/>
      <c r="DB138" s="307">
        <v>0</v>
      </c>
      <c r="DC138" s="258"/>
      <c r="DD138" s="307">
        <v>0</v>
      </c>
      <c r="DE138" s="258"/>
      <c r="DF138" s="307">
        <v>0</v>
      </c>
      <c r="DG138" s="258"/>
      <c r="DH138" s="258"/>
      <c r="DI138" s="70"/>
      <c r="DJ138" s="70">
        <v>0</v>
      </c>
      <c r="DK138" s="255"/>
      <c r="DL138" s="253"/>
      <c r="DM138" s="253"/>
      <c r="DN138" s="253"/>
      <c r="DO138" s="70"/>
      <c r="DP138" s="70"/>
      <c r="DQ138" s="70"/>
      <c r="DR138" s="70"/>
      <c r="DS138" s="70"/>
      <c r="DT138" s="70"/>
      <c r="DU138" s="70"/>
      <c r="DV138" s="70"/>
      <c r="DW138" s="70"/>
      <c r="DX138" s="70"/>
      <c r="DY138" s="70"/>
      <c r="DZ138" s="70"/>
      <c r="EA138" s="70"/>
      <c r="EB138" s="70"/>
      <c r="EC138" s="70"/>
      <c r="ED138" s="70"/>
      <c r="EE138" s="70"/>
      <c r="EF138" s="70"/>
      <c r="EG138" s="70"/>
      <c r="EH138" s="70"/>
      <c r="EI138" s="70"/>
    </row>
    <row r="139" spans="1:139" s="48" customFormat="1" ht="39.75" customHeight="1">
      <c r="A139" s="60">
        <v>263</v>
      </c>
      <c r="B139" s="114">
        <v>41978</v>
      </c>
      <c r="C139" s="62">
        <v>41978.767361111109</v>
      </c>
      <c r="D139" s="115">
        <v>33744516</v>
      </c>
      <c r="E139" s="116" t="s">
        <v>657</v>
      </c>
      <c r="F139" s="48" t="b">
        <v>0</v>
      </c>
      <c r="G139" s="48" t="s">
        <v>1674</v>
      </c>
      <c r="H139" s="71" t="s">
        <v>418</v>
      </c>
      <c r="I139" s="108">
        <v>23449</v>
      </c>
      <c r="J139" s="110">
        <v>50.764383561643832</v>
      </c>
      <c r="K139" s="85">
        <v>609.10585141354363</v>
      </c>
      <c r="L139" s="116" t="s">
        <v>493</v>
      </c>
      <c r="M139" s="360" t="s">
        <v>658</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c r="AK139" s="324">
        <f t="shared" si="4"/>
        <v>1</v>
      </c>
      <c r="AL139" s="187"/>
      <c r="AM139" s="191"/>
      <c r="AN139" s="51"/>
      <c r="AO139" s="61"/>
      <c r="AP139" s="60"/>
      <c r="AQ139" s="191"/>
      <c r="AR139" s="51"/>
      <c r="AS139" s="51"/>
      <c r="AT139" s="324"/>
      <c r="AU139" s="51">
        <v>0</v>
      </c>
      <c r="AV139" s="51">
        <v>0</v>
      </c>
      <c r="AW139" s="51">
        <v>0</v>
      </c>
      <c r="AX139" s="117" t="s">
        <v>659</v>
      </c>
      <c r="AY139" s="117">
        <v>0</v>
      </c>
      <c r="AZ139" s="91">
        <v>1</v>
      </c>
      <c r="BB139" s="82">
        <v>0</v>
      </c>
      <c r="BC139" s="82" t="e">
        <v>#REF!</v>
      </c>
      <c r="BD139" s="82">
        <v>0</v>
      </c>
      <c r="BE139" s="82">
        <v>0</v>
      </c>
      <c r="BF139" s="235">
        <v>0</v>
      </c>
      <c r="BG139" s="767"/>
      <c r="BH139" s="767"/>
      <c r="BI139" s="224">
        <v>1</v>
      </c>
      <c r="BJ139" s="71"/>
      <c r="BK139" s="71"/>
      <c r="BL139" s="71"/>
      <c r="BM139" s="71"/>
      <c r="BN139" s="71"/>
      <c r="BO139" s="71"/>
      <c r="BP139" s="71"/>
      <c r="BQ139" s="71"/>
      <c r="BR139" s="71"/>
      <c r="BS139" s="241" t="s">
        <v>261</v>
      </c>
      <c r="BT139" s="239"/>
      <c r="BU139" s="118"/>
      <c r="BV139" s="118"/>
      <c r="BW139" s="118"/>
      <c r="BX139" s="118">
        <v>0</v>
      </c>
      <c r="BY139" s="118"/>
      <c r="BZ139" s="118"/>
      <c r="CA139" s="71" t="e">
        <v>#REF!</v>
      </c>
      <c r="CB139" s="86">
        <v>0</v>
      </c>
      <c r="CC139" s="86"/>
      <c r="CD139" s="86"/>
      <c r="CE139" s="86"/>
      <c r="CF139" s="86">
        <v>0</v>
      </c>
      <c r="CG139" s="71"/>
      <c r="CH139" s="71"/>
      <c r="CI139" s="71"/>
      <c r="CJ139" s="71"/>
      <c r="CK139" s="71"/>
      <c r="CL139" s="71"/>
      <c r="CM139" s="48">
        <v>62</v>
      </c>
      <c r="CN139" s="48">
        <v>48</v>
      </c>
      <c r="CP139" s="505">
        <v>32.1</v>
      </c>
      <c r="CQ139" s="505">
        <v>33</v>
      </c>
      <c r="CR139" s="108">
        <v>41975</v>
      </c>
      <c r="CS139" s="108">
        <v>41993</v>
      </c>
      <c r="CT139" s="83">
        <v>15</v>
      </c>
      <c r="CU139" s="84"/>
      <c r="CV139" s="109"/>
      <c r="CW139" s="108"/>
      <c r="CX139" s="109"/>
      <c r="CY139" s="109"/>
      <c r="CZ139" s="109"/>
      <c r="DA139" s="108"/>
      <c r="DB139" s="109"/>
      <c r="DC139" s="108"/>
      <c r="DD139" s="109"/>
      <c r="DE139" s="108"/>
      <c r="DF139" s="109"/>
      <c r="DG139" s="108"/>
      <c r="DH139" s="67" t="s">
        <v>448</v>
      </c>
      <c r="DI139" s="71"/>
      <c r="DJ139" s="71">
        <v>0</v>
      </c>
      <c r="DK139" s="110"/>
      <c r="DL139" s="118"/>
      <c r="DM139" s="118"/>
      <c r="DN139" s="118"/>
      <c r="DO139" s="71"/>
      <c r="DP139" s="71"/>
      <c r="DQ139" s="71"/>
      <c r="DR139" s="71"/>
      <c r="DS139" s="71"/>
      <c r="DT139" s="71"/>
      <c r="DU139" s="71"/>
      <c r="DV139" s="71"/>
      <c r="DW139" s="71"/>
      <c r="DX139" s="71"/>
      <c r="DY139" s="71"/>
      <c r="DZ139" s="71"/>
      <c r="EA139" s="71"/>
      <c r="EB139" s="71"/>
      <c r="EC139" s="71"/>
      <c r="ED139" s="71"/>
      <c r="EE139" s="71"/>
      <c r="EF139" s="71"/>
      <c r="EG139" s="71"/>
      <c r="EH139" s="71"/>
      <c r="EI139" s="71"/>
    </row>
    <row r="140" spans="1:139" s="196" customFormat="1" ht="39.75" customHeight="1">
      <c r="A140" s="90">
        <v>265</v>
      </c>
      <c r="B140" s="361">
        <v>41964</v>
      </c>
      <c r="C140" s="194">
        <v>41964.634722222225</v>
      </c>
      <c r="D140" s="362">
        <v>33241248</v>
      </c>
      <c r="E140" s="363" t="s">
        <v>660</v>
      </c>
      <c r="F140" s="196" t="s">
        <v>1590</v>
      </c>
      <c r="G140" s="196" t="s">
        <v>1730</v>
      </c>
      <c r="H140" s="363" t="s">
        <v>418</v>
      </c>
      <c r="I140" s="320">
        <v>21646</v>
      </c>
      <c r="J140" s="259">
        <v>55.665753424657531</v>
      </c>
      <c r="K140" s="197">
        <v>667.91584483892177</v>
      </c>
      <c r="L140" s="363" t="s">
        <v>419</v>
      </c>
      <c r="M140" s="364" t="s">
        <v>661</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66"/>
      <c r="AK140" s="326">
        <f t="shared" si="4"/>
        <v>0</v>
      </c>
      <c r="AL140" s="364"/>
      <c r="AM140" s="367"/>
      <c r="AN140" s="202"/>
      <c r="AO140" s="88"/>
      <c r="AP140" s="363"/>
      <c r="AQ140" s="367"/>
      <c r="AR140" s="202"/>
      <c r="AS140" s="202"/>
      <c r="AT140" s="366"/>
      <c r="AU140" s="202"/>
      <c r="AV140" s="202"/>
      <c r="AW140" s="202"/>
      <c r="AX140" s="202" t="s">
        <v>662</v>
      </c>
      <c r="AY140" s="363"/>
      <c r="AZ140" s="202"/>
      <c r="BB140" s="203"/>
      <c r="BC140" s="203"/>
      <c r="BD140" s="203"/>
      <c r="BE140" s="203"/>
      <c r="BF140" s="236"/>
      <c r="BG140" s="768"/>
      <c r="BH140" s="768"/>
      <c r="BI140" s="226"/>
      <c r="BJ140" s="201"/>
      <c r="BK140" s="201"/>
      <c r="BL140" s="201"/>
      <c r="BM140" s="201"/>
      <c r="BN140" s="201"/>
      <c r="BO140" s="201"/>
      <c r="BP140" s="201"/>
      <c r="BQ140" s="201"/>
      <c r="BR140" s="201"/>
      <c r="BS140" s="243"/>
      <c r="BT140" s="294" t="s">
        <v>174</v>
      </c>
      <c r="BU140" s="295"/>
      <c r="BV140" s="295"/>
      <c r="BW140" s="295"/>
      <c r="BX140" s="295"/>
      <c r="BY140" s="295"/>
      <c r="BZ140" s="295"/>
      <c r="CA140" s="295"/>
      <c r="CB140" s="201"/>
      <c r="CC140" s="201"/>
      <c r="CD140" s="201"/>
      <c r="CE140" s="201"/>
      <c r="CF140" s="201"/>
      <c r="CG140" s="201"/>
      <c r="CH140" s="201"/>
      <c r="CI140" s="201"/>
      <c r="CJ140" s="201"/>
      <c r="CK140" s="201"/>
      <c r="CL140" s="201"/>
      <c r="CM140" s="196">
        <v>104</v>
      </c>
      <c r="CN140" s="196">
        <v>79</v>
      </c>
      <c r="CP140" s="506">
        <v>30.8</v>
      </c>
      <c r="CQ140" s="506">
        <v>31.6</v>
      </c>
      <c r="CR140" s="361">
        <v>41962</v>
      </c>
      <c r="CS140" s="361">
        <v>41975</v>
      </c>
      <c r="CT140" s="205">
        <v>11</v>
      </c>
      <c r="CU140" s="206"/>
      <c r="CV140" s="368"/>
      <c r="CW140" s="361"/>
      <c r="CX140" s="368"/>
      <c r="CY140" s="368"/>
      <c r="CZ140" s="368"/>
      <c r="DA140" s="361"/>
      <c r="DB140" s="368"/>
      <c r="DC140" s="361"/>
      <c r="DD140" s="368"/>
      <c r="DE140" s="361"/>
      <c r="DF140" s="368"/>
      <c r="DG140" s="361"/>
      <c r="DH140" s="361"/>
      <c r="DI140" s="201"/>
      <c r="DJ140" s="201">
        <v>0</v>
      </c>
      <c r="DK140" s="259"/>
      <c r="DL140" s="295"/>
      <c r="DM140" s="295"/>
      <c r="DN140" s="295"/>
      <c r="DO140" s="201"/>
      <c r="DP140" s="201"/>
      <c r="DQ140" s="201"/>
      <c r="DR140" s="201"/>
      <c r="DS140" s="201"/>
      <c r="DT140" s="201"/>
      <c r="DU140" s="201"/>
      <c r="DV140" s="201"/>
      <c r="DW140" s="201"/>
      <c r="DX140" s="201"/>
      <c r="DY140" s="201"/>
      <c r="DZ140" s="201"/>
      <c r="EA140" s="201"/>
      <c r="EB140" s="201"/>
      <c r="EC140" s="201"/>
      <c r="ED140" s="201"/>
      <c r="EE140" s="201"/>
      <c r="EF140" s="201"/>
      <c r="EG140" s="201"/>
      <c r="EH140" s="201"/>
      <c r="EI140" s="201"/>
    </row>
    <row r="141" spans="1:139" s="47" customFormat="1" ht="39.75" customHeight="1">
      <c r="A141" s="50">
        <v>266</v>
      </c>
      <c r="B141" s="352">
        <v>41958</v>
      </c>
      <c r="C141" s="55">
        <v>41958.78125</v>
      </c>
      <c r="D141" s="353">
        <v>33596993</v>
      </c>
      <c r="E141" s="359" t="s">
        <v>663</v>
      </c>
      <c r="F141" s="47" t="b">
        <v>1</v>
      </c>
      <c r="H141" s="359" t="s">
        <v>441</v>
      </c>
      <c r="I141" s="258">
        <v>32672</v>
      </c>
      <c r="J141" s="255">
        <v>25.44109589041096</v>
      </c>
      <c r="K141" s="181">
        <v>305.25969756738988</v>
      </c>
      <c r="L141" s="359" t="s">
        <v>419</v>
      </c>
      <c r="M141" s="355" t="s">
        <v>664</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57">
        <v>0</v>
      </c>
      <c r="AK141" s="323">
        <f t="shared" si="4"/>
        <v>0</v>
      </c>
      <c r="AL141" s="355" t="s">
        <v>1859</v>
      </c>
      <c r="AM141" s="358">
        <v>41957</v>
      </c>
      <c r="AN141" s="193" t="s">
        <v>1530</v>
      </c>
      <c r="AO141" s="54">
        <v>41985</v>
      </c>
      <c r="AP141" s="359" t="s">
        <v>1587</v>
      </c>
      <c r="AQ141" s="358"/>
      <c r="AR141" s="193">
        <v>1</v>
      </c>
      <c r="AS141" s="193" t="s">
        <v>1857</v>
      </c>
      <c r="AT141" s="357">
        <v>0</v>
      </c>
      <c r="AU141" s="193">
        <v>0</v>
      </c>
      <c r="AV141" s="193">
        <v>0</v>
      </c>
      <c r="AW141" s="193">
        <v>1</v>
      </c>
      <c r="AX141" s="359" t="s">
        <v>665</v>
      </c>
      <c r="AY141" s="193"/>
      <c r="AZ141" s="193" t="s">
        <v>1494</v>
      </c>
      <c r="BA141" s="47">
        <v>0</v>
      </c>
      <c r="BB141" s="69">
        <v>1</v>
      </c>
      <c r="BC141" s="69"/>
      <c r="BD141" s="69">
        <v>0</v>
      </c>
      <c r="BE141" s="69">
        <v>0</v>
      </c>
      <c r="BF141" s="234">
        <v>0</v>
      </c>
      <c r="BG141" s="766">
        <v>0</v>
      </c>
      <c r="BH141" s="766"/>
      <c r="BI141" s="223">
        <v>0</v>
      </c>
      <c r="BJ141" s="70"/>
      <c r="BK141" s="70">
        <v>0</v>
      </c>
      <c r="BL141" s="70"/>
      <c r="BM141" s="70">
        <v>0</v>
      </c>
      <c r="BN141" s="70"/>
      <c r="BO141" s="70">
        <v>0</v>
      </c>
      <c r="BP141" s="70">
        <v>0</v>
      </c>
      <c r="BQ141" s="70">
        <v>0</v>
      </c>
      <c r="BR141" s="70">
        <v>0</v>
      </c>
      <c r="BS141" s="240">
        <v>0</v>
      </c>
      <c r="BT141" s="252">
        <v>1</v>
      </c>
      <c r="BU141" s="253" t="s">
        <v>1858</v>
      </c>
      <c r="BV141" s="253">
        <v>0</v>
      </c>
      <c r="BW141" s="253">
        <v>0</v>
      </c>
      <c r="BX141" s="253">
        <v>0</v>
      </c>
      <c r="BY141" s="253"/>
      <c r="BZ141" s="253"/>
      <c r="CA141" s="253"/>
      <c r="CB141" s="70">
        <v>0</v>
      </c>
      <c r="CC141" s="70">
        <v>0</v>
      </c>
      <c r="CD141" s="70">
        <v>0</v>
      </c>
      <c r="CE141" s="70"/>
      <c r="CF141" s="70"/>
      <c r="CG141" s="70"/>
      <c r="CH141" s="70">
        <v>0</v>
      </c>
      <c r="CI141" s="70"/>
      <c r="CJ141" s="70">
        <v>0</v>
      </c>
      <c r="CK141" s="70">
        <v>0</v>
      </c>
      <c r="CL141" s="70">
        <v>0</v>
      </c>
      <c r="CM141" s="47">
        <v>77</v>
      </c>
      <c r="CN141" s="47">
        <v>57</v>
      </c>
      <c r="CP141" s="504">
        <v>32.4</v>
      </c>
      <c r="CQ141" s="504">
        <v>33.799999999999997</v>
      </c>
      <c r="CR141" s="352">
        <v>41957</v>
      </c>
      <c r="CS141" s="352">
        <v>41971</v>
      </c>
      <c r="CT141" s="78">
        <v>13</v>
      </c>
      <c r="CU141" s="79">
        <v>44315</v>
      </c>
      <c r="CV141" s="369">
        <v>0</v>
      </c>
      <c r="CW141" s="352"/>
      <c r="CX141" s="369">
        <v>0</v>
      </c>
      <c r="CY141" s="369">
        <v>0</v>
      </c>
      <c r="CZ141" s="369">
        <v>0</v>
      </c>
      <c r="DA141" s="352"/>
      <c r="DB141" s="369">
        <v>0</v>
      </c>
      <c r="DC141" s="352"/>
      <c r="DD141" s="369">
        <v>0</v>
      </c>
      <c r="DE141" s="352"/>
      <c r="DF141" s="369">
        <v>0</v>
      </c>
      <c r="DG141" s="352"/>
      <c r="DH141" s="352"/>
      <c r="DI141" s="70"/>
      <c r="DJ141" s="70">
        <v>0</v>
      </c>
      <c r="DK141" s="255"/>
      <c r="DL141" s="253"/>
      <c r="DM141" s="253"/>
      <c r="DN141" s="253"/>
      <c r="DO141" s="70"/>
      <c r="DP141" s="70"/>
      <c r="DQ141" s="70"/>
      <c r="DR141" s="70"/>
      <c r="DS141" s="70"/>
      <c r="DT141" s="70"/>
      <c r="DU141" s="70"/>
      <c r="DV141" s="70"/>
      <c r="DW141" s="70"/>
      <c r="DX141" s="70"/>
      <c r="DY141" s="70"/>
      <c r="DZ141" s="70"/>
      <c r="EA141" s="70"/>
      <c r="EB141" s="70"/>
      <c r="EC141" s="70"/>
      <c r="ED141" s="70"/>
      <c r="EE141" s="70"/>
      <c r="EF141" s="70"/>
      <c r="EG141" s="70"/>
      <c r="EH141" s="70"/>
      <c r="EI141" s="70"/>
    </row>
    <row r="142" spans="1:139" s="48" customFormat="1" ht="39.75" customHeight="1">
      <c r="A142" s="60">
        <v>267</v>
      </c>
      <c r="B142" s="114">
        <v>41956</v>
      </c>
      <c r="C142" s="62">
        <v>41956.493055555555</v>
      </c>
      <c r="D142" s="115">
        <v>29578330</v>
      </c>
      <c r="E142" s="119" t="s">
        <v>666</v>
      </c>
      <c r="F142" s="48" t="b">
        <v>0</v>
      </c>
      <c r="G142" s="48" t="s">
        <v>1487</v>
      </c>
      <c r="H142" s="119" t="s">
        <v>418</v>
      </c>
      <c r="I142" s="108">
        <v>25324</v>
      </c>
      <c r="J142" s="110">
        <v>45.56712328767123</v>
      </c>
      <c r="K142" s="85">
        <v>546.74556213017752</v>
      </c>
      <c r="L142" s="119" t="s">
        <v>493</v>
      </c>
      <c r="M142" s="370" t="s">
        <v>667</v>
      </c>
      <c r="N142" s="48">
        <v>176</v>
      </c>
      <c r="O142" s="48">
        <v>73.8</v>
      </c>
      <c r="P142" s="48">
        <f t="shared" si="5"/>
        <v>23.824896694214875</v>
      </c>
      <c r="Q142" s="91"/>
      <c r="V142" s="91"/>
      <c r="Y142" s="216"/>
      <c r="Z142" s="371"/>
      <c r="AA142" s="372"/>
      <c r="AB142" s="372"/>
      <c r="AC142" s="372"/>
      <c r="AD142" s="372"/>
      <c r="AE142" s="372"/>
      <c r="AF142" s="372"/>
      <c r="AG142" s="372"/>
      <c r="AH142" s="372"/>
      <c r="AI142" s="372"/>
      <c r="AJ142" s="372"/>
      <c r="AK142" s="324">
        <f t="shared" si="4"/>
        <v>0</v>
      </c>
      <c r="AL142" s="370"/>
      <c r="AM142" s="373"/>
      <c r="AN142" s="91"/>
      <c r="AO142" s="61"/>
      <c r="AP142" s="119"/>
      <c r="AQ142" s="373"/>
      <c r="AR142" s="91"/>
      <c r="AS142" s="91"/>
      <c r="AT142" s="372"/>
      <c r="AU142" s="91"/>
      <c r="AV142" s="91"/>
      <c r="AW142" s="91"/>
      <c r="AX142" s="91" t="s">
        <v>668</v>
      </c>
      <c r="AY142" s="91"/>
      <c r="AZ142" s="91"/>
      <c r="BB142" s="82"/>
      <c r="BC142" s="82"/>
      <c r="BD142" s="82"/>
      <c r="BE142" s="82"/>
      <c r="BF142" s="235"/>
      <c r="BG142" s="767"/>
      <c r="BH142" s="767"/>
      <c r="BI142" s="224"/>
      <c r="BJ142" s="71"/>
      <c r="BK142" s="71"/>
      <c r="BL142" s="71"/>
      <c r="BM142" s="71"/>
      <c r="BN142" s="71"/>
      <c r="BO142" s="71"/>
      <c r="BP142" s="71"/>
      <c r="BQ142" s="71"/>
      <c r="BR142" s="71"/>
      <c r="BS142" s="241"/>
      <c r="BT142" s="239" t="s">
        <v>174</v>
      </c>
      <c r="BU142" s="118"/>
      <c r="BV142" s="118"/>
      <c r="BW142" s="118"/>
      <c r="BX142" s="118"/>
      <c r="BY142" s="118"/>
      <c r="BZ142" s="118"/>
      <c r="CA142" s="118"/>
      <c r="CB142" s="71"/>
      <c r="CC142" s="71"/>
      <c r="CD142" s="71"/>
      <c r="CE142" s="71"/>
      <c r="CF142" s="71"/>
      <c r="CG142" s="71"/>
      <c r="CH142" s="71"/>
      <c r="CI142" s="71"/>
      <c r="CJ142" s="71"/>
      <c r="CK142" s="71"/>
      <c r="CL142" s="71"/>
      <c r="CM142" s="48">
        <v>185</v>
      </c>
      <c r="CN142" s="48">
        <v>130</v>
      </c>
      <c r="CP142" s="505">
        <v>28.7</v>
      </c>
      <c r="CQ142" s="505">
        <v>29.9</v>
      </c>
      <c r="CR142" s="114">
        <v>41948</v>
      </c>
      <c r="CS142" s="114">
        <v>41971</v>
      </c>
      <c r="CT142" s="83">
        <v>15</v>
      </c>
      <c r="CU142" s="84"/>
      <c r="CV142" s="121"/>
      <c r="CW142" s="114"/>
      <c r="CX142" s="121"/>
      <c r="CY142" s="121"/>
      <c r="CZ142" s="121"/>
      <c r="DA142" s="114"/>
      <c r="DB142" s="121"/>
      <c r="DC142" s="114"/>
      <c r="DD142" s="121"/>
      <c r="DE142" s="114"/>
      <c r="DF142" s="121"/>
      <c r="DG142" s="114"/>
      <c r="DH142" s="114"/>
      <c r="DI142" s="71"/>
      <c r="DJ142" s="71">
        <v>0</v>
      </c>
      <c r="DK142" s="110"/>
      <c r="DL142" s="118"/>
      <c r="DM142" s="118"/>
      <c r="DN142" s="118"/>
      <c r="DO142" s="71"/>
      <c r="DP142" s="71"/>
      <c r="DQ142" s="71"/>
      <c r="DR142" s="71"/>
      <c r="DS142" s="71"/>
      <c r="DT142" s="71"/>
      <c r="DU142" s="71"/>
      <c r="DV142" s="71"/>
      <c r="DW142" s="71"/>
      <c r="DX142" s="71"/>
      <c r="DY142" s="71"/>
      <c r="DZ142" s="71"/>
      <c r="EA142" s="71"/>
      <c r="EB142" s="71"/>
      <c r="EC142" s="71"/>
      <c r="ED142" s="71"/>
      <c r="EE142" s="71"/>
      <c r="EF142" s="71"/>
      <c r="EG142" s="71"/>
      <c r="EH142" s="71"/>
      <c r="EI142" s="71"/>
    </row>
    <row r="143" spans="1:139" s="48" customFormat="1" ht="39.75" customHeight="1">
      <c r="A143" s="60">
        <v>268</v>
      </c>
      <c r="B143" s="114">
        <v>41948</v>
      </c>
      <c r="C143" s="62">
        <v>41948.298611111109</v>
      </c>
      <c r="D143" s="115">
        <v>33561357</v>
      </c>
      <c r="E143" s="119" t="s">
        <v>669</v>
      </c>
      <c r="F143" s="48" t="b">
        <v>0</v>
      </c>
      <c r="G143" s="48" t="s">
        <v>1674</v>
      </c>
      <c r="H143" s="119" t="s">
        <v>418</v>
      </c>
      <c r="I143" s="108">
        <v>25953</v>
      </c>
      <c r="J143" s="110">
        <v>43.821917808219176</v>
      </c>
      <c r="K143" s="85">
        <v>525.8053911900065</v>
      </c>
      <c r="L143" s="119" t="s">
        <v>493</v>
      </c>
      <c r="M143" s="370" t="s">
        <v>670</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c r="AK143" s="324">
        <f t="shared" si="4"/>
        <v>1</v>
      </c>
      <c r="AL143" s="187"/>
      <c r="AM143" s="191"/>
      <c r="AN143" s="51"/>
      <c r="AO143" s="61"/>
      <c r="AP143" s="60"/>
      <c r="AQ143" s="191"/>
      <c r="AR143" s="51"/>
      <c r="AS143" s="51"/>
      <c r="AT143" s="324"/>
      <c r="AU143" s="51"/>
      <c r="AV143" s="51"/>
      <c r="AW143" s="51"/>
      <c r="AX143" s="91" t="s">
        <v>671</v>
      </c>
      <c r="AY143" s="91"/>
      <c r="AZ143" s="91">
        <v>1</v>
      </c>
      <c r="BB143" s="82"/>
      <c r="BC143" s="82" t="e">
        <v>#REF!</v>
      </c>
      <c r="BD143" s="82"/>
      <c r="BE143" s="82"/>
      <c r="BF143" s="235"/>
      <c r="BG143" s="767"/>
      <c r="BH143" s="767"/>
      <c r="BI143" s="224">
        <v>1</v>
      </c>
      <c r="BJ143" s="71"/>
      <c r="BK143" s="71"/>
      <c r="BL143" s="71"/>
      <c r="BM143" s="71"/>
      <c r="BN143" s="71"/>
      <c r="BO143" s="71"/>
      <c r="BP143" s="71"/>
      <c r="BQ143" s="71"/>
      <c r="BR143" s="71"/>
      <c r="BS143" s="241"/>
      <c r="BT143" s="239"/>
      <c r="BU143" s="118"/>
      <c r="BV143" s="118"/>
      <c r="BW143" s="118"/>
      <c r="BX143" s="118"/>
      <c r="BY143" s="118"/>
      <c r="BZ143" s="118"/>
      <c r="CA143" s="71" t="e">
        <v>#REF!</v>
      </c>
      <c r="CB143" s="86"/>
      <c r="CC143" s="86"/>
      <c r="CD143" s="86"/>
      <c r="CE143" s="86"/>
      <c r="CF143" s="86"/>
      <c r="CG143" s="71"/>
      <c r="CH143" s="71"/>
      <c r="CI143" s="71"/>
      <c r="CJ143" s="71"/>
      <c r="CK143" s="71"/>
      <c r="CL143" s="71"/>
      <c r="CM143" s="48">
        <v>53</v>
      </c>
      <c r="CN143" s="48">
        <v>29</v>
      </c>
      <c r="CP143" s="505">
        <v>31.9</v>
      </c>
      <c r="CQ143" s="505">
        <v>33.9</v>
      </c>
      <c r="CR143" s="114">
        <v>41945</v>
      </c>
      <c r="CS143" s="114">
        <v>41955</v>
      </c>
      <c r="CT143" s="83">
        <v>7</v>
      </c>
      <c r="CU143" s="84"/>
      <c r="CV143" s="121"/>
      <c r="CW143" s="114"/>
      <c r="CX143" s="121"/>
      <c r="CY143" s="121"/>
      <c r="CZ143" s="121"/>
      <c r="DA143" s="114"/>
      <c r="DB143" s="121"/>
      <c r="DC143" s="114"/>
      <c r="DD143" s="121"/>
      <c r="DE143" s="114"/>
      <c r="DF143" s="121"/>
      <c r="DG143" s="114"/>
      <c r="DH143" s="87" t="s">
        <v>220</v>
      </c>
      <c r="DI143" s="71"/>
      <c r="DJ143" s="71">
        <v>0</v>
      </c>
      <c r="DK143" s="110"/>
      <c r="DL143" s="118"/>
      <c r="DM143" s="118"/>
      <c r="DN143" s="118"/>
      <c r="DO143" s="71"/>
      <c r="DP143" s="71"/>
      <c r="DQ143" s="71"/>
      <c r="DR143" s="71"/>
      <c r="DS143" s="71"/>
      <c r="DT143" s="71"/>
      <c r="DU143" s="71"/>
      <c r="DV143" s="71"/>
      <c r="DW143" s="71"/>
      <c r="DX143" s="71"/>
      <c r="DY143" s="71"/>
      <c r="DZ143" s="71"/>
      <c r="EA143" s="71"/>
      <c r="EB143" s="71"/>
      <c r="EC143" s="71"/>
      <c r="ED143" s="71"/>
      <c r="EE143" s="71"/>
      <c r="EF143" s="71"/>
      <c r="EG143" s="71"/>
      <c r="EH143" s="71"/>
      <c r="EI143" s="71"/>
    </row>
    <row r="144" spans="1:139" s="47" customFormat="1" ht="39.75" customHeight="1">
      <c r="A144" s="50">
        <v>270</v>
      </c>
      <c r="B144" s="352">
        <v>41919</v>
      </c>
      <c r="C144" s="55">
        <v>41919.574305555558</v>
      </c>
      <c r="D144" s="353">
        <v>33420856</v>
      </c>
      <c r="E144" s="359" t="s">
        <v>672</v>
      </c>
      <c r="F144" s="47" t="b">
        <v>1</v>
      </c>
      <c r="H144" s="359" t="s">
        <v>441</v>
      </c>
      <c r="I144" s="374">
        <v>14782</v>
      </c>
      <c r="J144" s="255">
        <v>74.347945205479448</v>
      </c>
      <c r="K144" s="181">
        <v>892.07758053911891</v>
      </c>
      <c r="L144" s="359" t="s">
        <v>500</v>
      </c>
      <c r="M144" s="355" t="s">
        <v>673</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v>0</v>
      </c>
      <c r="AK144" s="323">
        <f t="shared" si="4"/>
        <v>0</v>
      </c>
      <c r="AL144" s="186" t="s">
        <v>674</v>
      </c>
      <c r="AM144" s="58">
        <v>41913</v>
      </c>
      <c r="AN144" s="52" t="s">
        <v>1860</v>
      </c>
      <c r="AO144" s="54">
        <v>41946</v>
      </c>
      <c r="AP144" s="50" t="s">
        <v>187</v>
      </c>
      <c r="AQ144" s="58">
        <v>41900</v>
      </c>
      <c r="AR144" s="52">
        <v>1</v>
      </c>
      <c r="AS144" s="52" t="s">
        <v>1861</v>
      </c>
      <c r="AT144" s="323">
        <v>0</v>
      </c>
      <c r="AU144" s="52">
        <v>0</v>
      </c>
      <c r="AV144" s="52">
        <v>0</v>
      </c>
      <c r="AW144" s="52">
        <v>1</v>
      </c>
      <c r="AX144" s="193" t="s">
        <v>675</v>
      </c>
      <c r="AY144" s="193"/>
      <c r="AZ144" s="193" t="s">
        <v>1507</v>
      </c>
      <c r="BA144" s="47">
        <v>0</v>
      </c>
      <c r="BB144" s="69">
        <v>1</v>
      </c>
      <c r="BC144" s="69"/>
      <c r="BD144" s="69">
        <v>0</v>
      </c>
      <c r="BE144" s="69">
        <v>0</v>
      </c>
      <c r="BF144" s="234">
        <v>0</v>
      </c>
      <c r="BG144" s="766">
        <v>0</v>
      </c>
      <c r="BH144" s="766"/>
      <c r="BI144" s="376">
        <v>1</v>
      </c>
      <c r="BJ144" s="377"/>
      <c r="BK144" s="377">
        <v>1</v>
      </c>
      <c r="BL144" s="377" t="s">
        <v>1862</v>
      </c>
      <c r="BM144" s="377">
        <v>0</v>
      </c>
      <c r="BN144" s="377"/>
      <c r="BO144" s="377">
        <v>0</v>
      </c>
      <c r="BP144" s="377">
        <v>0</v>
      </c>
      <c r="BQ144" s="377">
        <v>0</v>
      </c>
      <c r="BR144" s="377">
        <v>0</v>
      </c>
      <c r="BS144" s="242">
        <v>0</v>
      </c>
      <c r="BT144" s="252">
        <v>0</v>
      </c>
      <c r="BU144" s="253"/>
      <c r="BV144" s="253">
        <v>0</v>
      </c>
      <c r="BW144" s="253">
        <v>1</v>
      </c>
      <c r="BX144" s="253">
        <v>0</v>
      </c>
      <c r="BY144" s="253"/>
      <c r="BZ144" s="253" t="s">
        <v>1747</v>
      </c>
      <c r="CA144" s="70" t="s">
        <v>1863</v>
      </c>
      <c r="CB144" s="77">
        <v>0</v>
      </c>
      <c r="CC144" s="77">
        <v>0</v>
      </c>
      <c r="CD144" s="77">
        <v>0</v>
      </c>
      <c r="CE144" s="77"/>
      <c r="CF144" s="77"/>
      <c r="CG144" s="70"/>
      <c r="CH144" s="70">
        <v>1</v>
      </c>
      <c r="CI144" s="70" t="s">
        <v>1626</v>
      </c>
      <c r="CJ144" s="70">
        <v>0</v>
      </c>
      <c r="CK144" s="70">
        <v>0</v>
      </c>
      <c r="CL144" s="70">
        <v>0</v>
      </c>
      <c r="CM144" s="47">
        <v>73</v>
      </c>
      <c r="CN144" s="47">
        <v>53</v>
      </c>
      <c r="CP144" s="504">
        <v>30.5</v>
      </c>
      <c r="CQ144" s="504">
        <v>31.8</v>
      </c>
      <c r="CR144" s="352">
        <v>41915</v>
      </c>
      <c r="CS144" s="352">
        <v>41989</v>
      </c>
      <c r="CT144" s="78">
        <v>70</v>
      </c>
      <c r="CU144" s="79">
        <v>42019</v>
      </c>
      <c r="CV144" s="369">
        <v>0</v>
      </c>
      <c r="CW144" s="352"/>
      <c r="CX144" s="369">
        <v>0</v>
      </c>
      <c r="CY144" s="369">
        <v>0</v>
      </c>
      <c r="CZ144" s="369">
        <v>0</v>
      </c>
      <c r="DA144" s="352"/>
      <c r="DB144" s="369">
        <v>0</v>
      </c>
      <c r="DC144" s="352"/>
      <c r="DD144" s="369">
        <v>0</v>
      </c>
      <c r="DE144" s="352"/>
      <c r="DF144" s="369">
        <v>0</v>
      </c>
      <c r="DG144" s="352"/>
      <c r="DH144" s="352"/>
      <c r="DI144" s="70"/>
      <c r="DJ144" s="377">
        <v>0</v>
      </c>
      <c r="DK144" s="378"/>
      <c r="DL144" s="253"/>
      <c r="DM144" s="253"/>
      <c r="DN144" s="253"/>
      <c r="DO144" s="377"/>
      <c r="DP144" s="377"/>
      <c r="DQ144" s="70"/>
      <c r="DR144" s="70"/>
      <c r="DS144" s="70"/>
      <c r="DT144" s="70"/>
      <c r="DU144" s="70"/>
      <c r="DV144" s="70"/>
      <c r="DW144" s="70"/>
      <c r="DX144" s="70"/>
      <c r="DY144" s="70"/>
      <c r="DZ144" s="70"/>
      <c r="EA144" s="70"/>
      <c r="EB144" s="70"/>
      <c r="EC144" s="70"/>
      <c r="ED144" s="70"/>
      <c r="EE144" s="70"/>
      <c r="EF144" s="70"/>
      <c r="EG144" s="70"/>
      <c r="EH144" s="70"/>
      <c r="EI144" s="70"/>
    </row>
    <row r="145" spans="1:139" s="47" customFormat="1" ht="39.75" customHeight="1">
      <c r="A145" s="50">
        <v>271</v>
      </c>
      <c r="B145" s="352">
        <v>41894</v>
      </c>
      <c r="C145" s="55">
        <v>41894.830555555556</v>
      </c>
      <c r="D145" s="353">
        <v>26950579</v>
      </c>
      <c r="E145" s="359" t="s">
        <v>676</v>
      </c>
      <c r="F145" s="47" t="b">
        <v>1</v>
      </c>
      <c r="H145" s="359" t="s">
        <v>418</v>
      </c>
      <c r="I145" s="374">
        <v>21468</v>
      </c>
      <c r="J145" s="255">
        <v>55.961643835616435</v>
      </c>
      <c r="K145" s="181">
        <v>671.46614069690986</v>
      </c>
      <c r="L145" s="359" t="s">
        <v>500</v>
      </c>
      <c r="M145" s="355" t="s">
        <v>677</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v>1</v>
      </c>
      <c r="AK145" s="323">
        <f t="shared" si="4"/>
        <v>0</v>
      </c>
      <c r="AL145" s="186" t="s">
        <v>678</v>
      </c>
      <c r="AM145" s="58">
        <v>41894</v>
      </c>
      <c r="AN145" s="52" t="s">
        <v>1864</v>
      </c>
      <c r="AO145" s="54">
        <v>41916</v>
      </c>
      <c r="AP145" s="50" t="s">
        <v>223</v>
      </c>
      <c r="AQ145" s="58"/>
      <c r="AR145" s="52">
        <v>1</v>
      </c>
      <c r="AS145" s="52" t="s">
        <v>679</v>
      </c>
      <c r="AT145" s="323">
        <v>0</v>
      </c>
      <c r="AU145" s="52">
        <v>0</v>
      </c>
      <c r="AV145" s="52">
        <v>0</v>
      </c>
      <c r="AW145" s="52">
        <v>1</v>
      </c>
      <c r="AX145" s="193" t="s">
        <v>680</v>
      </c>
      <c r="AY145" s="193"/>
      <c r="AZ145" s="193" t="s">
        <v>1747</v>
      </c>
      <c r="BA145" s="47">
        <v>0</v>
      </c>
      <c r="BB145" s="69">
        <v>1</v>
      </c>
      <c r="BC145" s="69">
        <v>10</v>
      </c>
      <c r="BD145" s="69">
        <v>0</v>
      </c>
      <c r="BE145" s="69">
        <v>0</v>
      </c>
      <c r="BF145" s="234">
        <v>0</v>
      </c>
      <c r="BG145" s="766">
        <v>0</v>
      </c>
      <c r="BH145" s="766"/>
      <c r="BI145" s="376">
        <v>1</v>
      </c>
      <c r="BJ145" s="377"/>
      <c r="BK145" s="377">
        <v>1</v>
      </c>
      <c r="BL145" s="377" t="s">
        <v>1862</v>
      </c>
      <c r="BM145" s="377">
        <v>0</v>
      </c>
      <c r="BN145" s="377"/>
      <c r="BO145" s="377">
        <v>0</v>
      </c>
      <c r="BP145" s="377">
        <v>0</v>
      </c>
      <c r="BQ145" s="377">
        <v>0</v>
      </c>
      <c r="BR145" s="377">
        <v>0</v>
      </c>
      <c r="BS145" s="242">
        <v>0</v>
      </c>
      <c r="BT145" s="252">
        <v>0</v>
      </c>
      <c r="BU145" s="253"/>
      <c r="BV145" s="253">
        <v>0</v>
      </c>
      <c r="BW145" s="253">
        <v>0</v>
      </c>
      <c r="BX145" s="253">
        <v>0</v>
      </c>
      <c r="BY145" s="253"/>
      <c r="BZ145" s="253"/>
      <c r="CA145" s="70" t="e">
        <v>#REF!</v>
      </c>
      <c r="CB145" s="77">
        <v>0</v>
      </c>
      <c r="CC145" s="77">
        <v>0</v>
      </c>
      <c r="CD145" s="77">
        <v>0</v>
      </c>
      <c r="CE145" s="77"/>
      <c r="CF145" s="77"/>
      <c r="CG145" s="70"/>
      <c r="CH145" s="70">
        <v>1</v>
      </c>
      <c r="CI145" s="70" t="s">
        <v>1626</v>
      </c>
      <c r="CJ145" s="70">
        <v>0</v>
      </c>
      <c r="CK145" s="70">
        <v>0</v>
      </c>
      <c r="CL145" s="70">
        <v>0</v>
      </c>
      <c r="CM145" s="47">
        <v>85</v>
      </c>
      <c r="CN145" s="47">
        <v>54</v>
      </c>
      <c r="CP145" s="504">
        <v>30.8</v>
      </c>
      <c r="CQ145" s="504">
        <v>32.299999999999997</v>
      </c>
      <c r="CR145" s="352">
        <v>41888</v>
      </c>
      <c r="CS145" s="352">
        <v>41937</v>
      </c>
      <c r="CT145" s="78">
        <v>43</v>
      </c>
      <c r="CU145" s="79">
        <v>41937</v>
      </c>
      <c r="CV145" s="369">
        <v>1</v>
      </c>
      <c r="CW145" s="352">
        <v>41937</v>
      </c>
      <c r="CX145" s="369">
        <v>1</v>
      </c>
      <c r="CY145" s="369">
        <v>0</v>
      </c>
      <c r="CZ145" s="369">
        <v>1</v>
      </c>
      <c r="DA145" s="352" t="s">
        <v>681</v>
      </c>
      <c r="DB145" s="369">
        <v>0</v>
      </c>
      <c r="DC145" s="352"/>
      <c r="DD145" s="369">
        <v>0</v>
      </c>
      <c r="DE145" s="352"/>
      <c r="DF145" s="369">
        <v>0</v>
      </c>
      <c r="DG145" s="352"/>
      <c r="DH145" s="352"/>
      <c r="DI145" s="70"/>
      <c r="DJ145" s="377">
        <v>1</v>
      </c>
      <c r="DK145" s="378">
        <v>1.4135437212360289</v>
      </c>
      <c r="DL145" s="253"/>
      <c r="DM145" s="253" t="b">
        <v>1</v>
      </c>
      <c r="DN145" s="379">
        <v>41937</v>
      </c>
      <c r="DO145" s="380" t="s">
        <v>682</v>
      </c>
      <c r="DP145" s="377"/>
      <c r="DQ145" s="70"/>
      <c r="DR145" s="70"/>
      <c r="DS145" s="70"/>
      <c r="DT145" s="70"/>
      <c r="DU145" s="70"/>
      <c r="DV145" s="70"/>
      <c r="DW145" s="70"/>
      <c r="DX145" s="70"/>
      <c r="DY145" s="70"/>
      <c r="DZ145" s="70"/>
      <c r="EA145" s="70"/>
      <c r="EB145" s="70"/>
      <c r="EC145" s="70"/>
      <c r="ED145" s="70"/>
      <c r="EE145" s="70"/>
      <c r="EF145" s="70"/>
      <c r="EG145" s="70"/>
      <c r="EH145" s="70"/>
      <c r="EI145" s="70"/>
    </row>
    <row r="146" spans="1:139" s="48" customFormat="1" ht="39.75" customHeight="1">
      <c r="A146" s="60">
        <v>272</v>
      </c>
      <c r="B146" s="114">
        <v>41886</v>
      </c>
      <c r="C146" s="62">
        <v>41886.291666666664</v>
      </c>
      <c r="D146" s="115">
        <v>25159535</v>
      </c>
      <c r="E146" s="119" t="s">
        <v>683</v>
      </c>
      <c r="F146" s="48" t="b">
        <v>0</v>
      </c>
      <c r="G146" s="48" t="s">
        <v>1487</v>
      </c>
      <c r="H146" s="119" t="s">
        <v>418</v>
      </c>
      <c r="I146" s="381">
        <v>17661</v>
      </c>
      <c r="J146" s="110">
        <v>66.369863013698634</v>
      </c>
      <c r="K146" s="85">
        <v>796.35108481262318</v>
      </c>
      <c r="L146" s="119" t="s">
        <v>442</v>
      </c>
      <c r="M146" s="370" t="s">
        <v>684</v>
      </c>
      <c r="N146" s="48">
        <v>169</v>
      </c>
      <c r="O146" s="48">
        <v>63.7</v>
      </c>
      <c r="P146" s="48">
        <f t="shared" si="5"/>
        <v>22.303140646335915</v>
      </c>
      <c r="Q146" s="91"/>
      <c r="V146" s="91"/>
      <c r="Y146" s="216"/>
      <c r="Z146" s="371"/>
      <c r="AA146" s="372"/>
      <c r="AB146" s="372"/>
      <c r="AC146" s="372"/>
      <c r="AD146" s="372"/>
      <c r="AE146" s="372"/>
      <c r="AF146" s="372"/>
      <c r="AG146" s="372"/>
      <c r="AH146" s="372"/>
      <c r="AI146" s="372"/>
      <c r="AJ146" s="372"/>
      <c r="AK146" s="324">
        <f t="shared" si="4"/>
        <v>0</v>
      </c>
      <c r="AL146" s="370"/>
      <c r="AM146" s="373"/>
      <c r="AN146" s="91"/>
      <c r="AO146" s="61"/>
      <c r="AP146" s="119"/>
      <c r="AQ146" s="373"/>
      <c r="AR146" s="91"/>
      <c r="AS146" s="91"/>
      <c r="AT146" s="372"/>
      <c r="AU146" s="91"/>
      <c r="AV146" s="91"/>
      <c r="AW146" s="91"/>
      <c r="AX146" s="91" t="s">
        <v>685</v>
      </c>
      <c r="AY146" s="91"/>
      <c r="AZ146" s="91"/>
      <c r="BB146" s="82"/>
      <c r="BC146" s="82"/>
      <c r="BD146" s="82"/>
      <c r="BE146" s="82"/>
      <c r="BF146" s="235"/>
      <c r="BG146" s="767"/>
      <c r="BH146" s="767"/>
      <c r="BI146" s="382"/>
      <c r="BJ146" s="383"/>
      <c r="BK146" s="383"/>
      <c r="BL146" s="383"/>
      <c r="BM146" s="383"/>
      <c r="BN146" s="383"/>
      <c r="BO146" s="383"/>
      <c r="BP146" s="383"/>
      <c r="BQ146" s="383"/>
      <c r="BR146" s="383"/>
      <c r="BS146" s="245"/>
      <c r="BT146" s="239"/>
      <c r="BU146" s="118"/>
      <c r="BV146" s="118"/>
      <c r="BW146" s="118"/>
      <c r="BX146" s="118"/>
      <c r="BY146" s="118"/>
      <c r="BZ146" s="118"/>
      <c r="CA146" s="118"/>
      <c r="CB146" s="71"/>
      <c r="CC146" s="71"/>
      <c r="CD146" s="71"/>
      <c r="CE146" s="71"/>
      <c r="CF146" s="71"/>
      <c r="CG146" s="71"/>
      <c r="CH146" s="71"/>
      <c r="CI146" s="71"/>
      <c r="CJ146" s="71"/>
      <c r="CK146" s="71"/>
      <c r="CL146" s="71"/>
      <c r="CM146" s="48">
        <v>232</v>
      </c>
      <c r="CN146" s="48">
        <v>176</v>
      </c>
      <c r="CP146" s="505">
        <v>30.6</v>
      </c>
      <c r="CQ146" s="505">
        <v>30.8</v>
      </c>
      <c r="CR146" s="114">
        <v>41885</v>
      </c>
      <c r="CS146" s="114">
        <v>41897</v>
      </c>
      <c r="CT146" s="83">
        <v>11</v>
      </c>
      <c r="CU146" s="84"/>
      <c r="CV146" s="121"/>
      <c r="CW146" s="114"/>
      <c r="CX146" s="121"/>
      <c r="CY146" s="121"/>
      <c r="CZ146" s="121"/>
      <c r="DA146" s="114"/>
      <c r="DB146" s="121"/>
      <c r="DC146" s="114"/>
      <c r="DD146" s="121"/>
      <c r="DE146" s="114"/>
      <c r="DF146" s="121"/>
      <c r="DG146" s="114"/>
      <c r="DH146" s="114"/>
      <c r="DI146" s="71"/>
      <c r="DJ146" s="383">
        <v>0</v>
      </c>
      <c r="DK146" s="384"/>
      <c r="DL146" s="118"/>
      <c r="DM146" s="118"/>
      <c r="DN146" s="118"/>
      <c r="DO146" s="383"/>
      <c r="DP146" s="383"/>
      <c r="DQ146" s="71"/>
      <c r="DR146" s="71"/>
      <c r="DS146" s="71"/>
      <c r="DT146" s="71"/>
      <c r="DU146" s="71"/>
      <c r="DV146" s="71"/>
      <c r="DW146" s="71"/>
      <c r="DX146" s="71"/>
      <c r="DY146" s="71"/>
      <c r="DZ146" s="71"/>
      <c r="EA146" s="71"/>
      <c r="EB146" s="71"/>
      <c r="EC146" s="71"/>
      <c r="ED146" s="71"/>
      <c r="EE146" s="71"/>
      <c r="EF146" s="71"/>
      <c r="EG146" s="71"/>
      <c r="EH146" s="71"/>
      <c r="EI146" s="71"/>
    </row>
    <row r="147" spans="1:139" s="47" customFormat="1" ht="39.75" customHeight="1">
      <c r="A147" s="50">
        <v>277</v>
      </c>
      <c r="B147" s="352">
        <v>41837</v>
      </c>
      <c r="C147" s="55">
        <v>41837.850694444445</v>
      </c>
      <c r="D147" s="353">
        <v>32953160</v>
      </c>
      <c r="E147" s="359" t="s">
        <v>686</v>
      </c>
      <c r="F147" s="47" t="b">
        <v>1</v>
      </c>
      <c r="H147" s="359" t="s">
        <v>418</v>
      </c>
      <c r="I147" s="374">
        <v>21026</v>
      </c>
      <c r="J147" s="255">
        <v>57.016438356164386</v>
      </c>
      <c r="K147" s="181">
        <v>684.12228796844181</v>
      </c>
      <c r="L147" s="359" t="s">
        <v>500</v>
      </c>
      <c r="M147" s="355" t="s">
        <v>687</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v>0</v>
      </c>
      <c r="AK147" s="323">
        <f t="shared" si="4"/>
        <v>0</v>
      </c>
      <c r="AL147" s="186"/>
      <c r="AM147" s="58">
        <v>41831</v>
      </c>
      <c r="AN147" s="52" t="s">
        <v>1865</v>
      </c>
      <c r="AO147" s="54">
        <v>41873</v>
      </c>
      <c r="AP147" s="50" t="s">
        <v>688</v>
      </c>
      <c r="AQ147" s="58">
        <v>41830</v>
      </c>
      <c r="AR147" s="52">
        <v>1</v>
      </c>
      <c r="AS147" s="52" t="s">
        <v>689</v>
      </c>
      <c r="AT147" s="323">
        <v>0</v>
      </c>
      <c r="AU147" s="52">
        <v>1</v>
      </c>
      <c r="AV147" s="52">
        <v>0</v>
      </c>
      <c r="AW147" s="52">
        <v>1</v>
      </c>
      <c r="AX147" s="193" t="s">
        <v>690</v>
      </c>
      <c r="AY147" s="193"/>
      <c r="AZ147" s="193" t="s">
        <v>1503</v>
      </c>
      <c r="BA147" s="47">
        <v>0</v>
      </c>
      <c r="BB147" s="69">
        <v>1</v>
      </c>
      <c r="BC147" s="69">
        <v>8</v>
      </c>
      <c r="BD147" s="69">
        <v>1</v>
      </c>
      <c r="BE147" s="69">
        <v>0</v>
      </c>
      <c r="BF147" s="234">
        <v>0</v>
      </c>
      <c r="BG147" s="766">
        <v>0</v>
      </c>
      <c r="BH147" s="766"/>
      <c r="BI147" s="376">
        <v>1</v>
      </c>
      <c r="BJ147" s="377"/>
      <c r="BK147" s="377">
        <v>1</v>
      </c>
      <c r="BL147" s="377" t="s">
        <v>1862</v>
      </c>
      <c r="BM147" s="380">
        <v>1</v>
      </c>
      <c r="BN147" s="380" t="s">
        <v>1866</v>
      </c>
      <c r="BO147" s="380">
        <v>1</v>
      </c>
      <c r="BP147" s="380">
        <v>0</v>
      </c>
      <c r="BQ147" s="380">
        <v>0</v>
      </c>
      <c r="BR147" s="380">
        <v>0</v>
      </c>
      <c r="BS147" s="242">
        <v>1</v>
      </c>
      <c r="BT147" s="252">
        <v>0</v>
      </c>
      <c r="BU147" s="253"/>
      <c r="BV147" s="253">
        <v>0</v>
      </c>
      <c r="BW147" s="253">
        <v>0</v>
      </c>
      <c r="BX147" s="253">
        <v>0</v>
      </c>
      <c r="BY147" s="253"/>
      <c r="BZ147" s="253"/>
      <c r="CA147" s="70"/>
      <c r="CB147" s="77">
        <v>0</v>
      </c>
      <c r="CC147" s="77">
        <v>0</v>
      </c>
      <c r="CD147" s="77">
        <v>0</v>
      </c>
      <c r="CE147" s="77"/>
      <c r="CF147" s="77"/>
      <c r="CG147" s="70"/>
      <c r="CH147" s="70">
        <v>0</v>
      </c>
      <c r="CI147" s="70"/>
      <c r="CJ147" s="70">
        <v>0</v>
      </c>
      <c r="CK147" s="70">
        <v>0</v>
      </c>
      <c r="CL147" s="70">
        <v>0</v>
      </c>
      <c r="CM147" s="47">
        <v>77</v>
      </c>
      <c r="CN147" s="47">
        <v>60</v>
      </c>
      <c r="CP147" s="504">
        <v>30.1</v>
      </c>
      <c r="CQ147" s="504">
        <v>31.8</v>
      </c>
      <c r="CR147" s="352">
        <v>41829.659722222197</v>
      </c>
      <c r="CS147" s="352">
        <v>41880</v>
      </c>
      <c r="CT147" s="78">
        <v>43</v>
      </c>
      <c r="CU147" s="79">
        <v>42012</v>
      </c>
      <c r="CV147" s="369">
        <v>0</v>
      </c>
      <c r="CW147" s="352"/>
      <c r="CX147" s="369">
        <v>0</v>
      </c>
      <c r="CY147" s="369">
        <v>0</v>
      </c>
      <c r="CZ147" s="369">
        <v>0</v>
      </c>
      <c r="DA147" s="352"/>
      <c r="DB147" s="369">
        <v>0</v>
      </c>
      <c r="DC147" s="352"/>
      <c r="DD147" s="369">
        <v>0</v>
      </c>
      <c r="DE147" s="352"/>
      <c r="DF147" s="369">
        <v>0</v>
      </c>
      <c r="DG147" s="352"/>
      <c r="DH147" s="352"/>
      <c r="DI147" s="70"/>
      <c r="DJ147" s="377">
        <v>0</v>
      </c>
      <c r="DK147" s="378"/>
      <c r="DL147" s="253"/>
      <c r="DM147" s="253"/>
      <c r="DN147" s="253"/>
      <c r="DO147" s="253"/>
      <c r="DP147" s="253"/>
      <c r="DQ147" s="70"/>
      <c r="DR147" s="70"/>
      <c r="DS147" s="70"/>
      <c r="DT147" s="70"/>
      <c r="DU147" s="70"/>
      <c r="DV147" s="70"/>
      <c r="DW147" s="70"/>
      <c r="DX147" s="70"/>
      <c r="DY147" s="70"/>
      <c r="DZ147" s="70"/>
      <c r="EA147" s="70"/>
      <c r="EB147" s="70"/>
      <c r="EC147" s="70"/>
      <c r="ED147" s="70"/>
      <c r="EE147" s="70"/>
      <c r="EF147" s="70"/>
      <c r="EG147" s="70"/>
      <c r="EH147" s="70"/>
      <c r="EI147" s="70"/>
    </row>
    <row r="148" spans="1:139" s="47" customFormat="1" ht="39.75" customHeight="1">
      <c r="A148" s="50">
        <v>278</v>
      </c>
      <c r="B148" s="352">
        <v>41835</v>
      </c>
      <c r="C148" s="55">
        <v>41835.762499999997</v>
      </c>
      <c r="D148" s="353">
        <v>13814242</v>
      </c>
      <c r="E148" s="359" t="s">
        <v>691</v>
      </c>
      <c r="F148" s="47" t="b">
        <v>1</v>
      </c>
      <c r="H148" s="359" t="s">
        <v>418</v>
      </c>
      <c r="I148" s="374">
        <v>26339</v>
      </c>
      <c r="J148" s="255">
        <v>42.454794520547942</v>
      </c>
      <c r="K148" s="181">
        <v>509.40170940170935</v>
      </c>
      <c r="L148" s="359" t="s">
        <v>442</v>
      </c>
      <c r="M148" s="355" t="s">
        <v>692</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57">
        <v>0</v>
      </c>
      <c r="AK148" s="323">
        <f t="shared" si="4"/>
        <v>1</v>
      </c>
      <c r="AL148" s="355" t="s">
        <v>1867</v>
      </c>
      <c r="AM148" s="358">
        <v>41835</v>
      </c>
      <c r="AN148" s="193" t="s">
        <v>1598</v>
      </c>
      <c r="AO148" s="54">
        <v>41877</v>
      </c>
      <c r="AP148" s="359" t="s">
        <v>1868</v>
      </c>
      <c r="AQ148" s="358">
        <v>41834</v>
      </c>
      <c r="AR148" s="193">
        <v>1</v>
      </c>
      <c r="AS148" s="193" t="s">
        <v>1869</v>
      </c>
      <c r="AT148" s="357">
        <v>0</v>
      </c>
      <c r="AU148" s="193">
        <v>0</v>
      </c>
      <c r="AV148" s="193">
        <v>0</v>
      </c>
      <c r="AW148" s="193">
        <v>1</v>
      </c>
      <c r="AX148" s="193" t="s">
        <v>693</v>
      </c>
      <c r="AY148" s="193" t="s">
        <v>1481</v>
      </c>
      <c r="AZ148" s="193" t="s">
        <v>1494</v>
      </c>
      <c r="BA148" s="47">
        <v>0</v>
      </c>
      <c r="BB148" s="69">
        <v>1</v>
      </c>
      <c r="BC148" s="69">
        <v>20</v>
      </c>
      <c r="BD148" s="69">
        <v>0</v>
      </c>
      <c r="BE148" s="69">
        <v>0</v>
      </c>
      <c r="BF148" s="234">
        <v>0</v>
      </c>
      <c r="BG148" s="766">
        <v>0</v>
      </c>
      <c r="BH148" s="766"/>
      <c r="BI148" s="376">
        <v>0</v>
      </c>
      <c r="BJ148" s="377"/>
      <c r="BK148" s="377">
        <v>0</v>
      </c>
      <c r="BL148" s="377"/>
      <c r="BM148" s="377">
        <v>0</v>
      </c>
      <c r="BN148" s="377"/>
      <c r="BO148" s="377">
        <v>0</v>
      </c>
      <c r="BP148" s="377">
        <v>0</v>
      </c>
      <c r="BQ148" s="377">
        <v>0</v>
      </c>
      <c r="BR148" s="377">
        <v>0</v>
      </c>
      <c r="BS148" s="242">
        <v>0</v>
      </c>
      <c r="BT148" s="252">
        <v>1</v>
      </c>
      <c r="BU148" s="253" t="s">
        <v>1870</v>
      </c>
      <c r="BV148" s="253">
        <v>0</v>
      </c>
      <c r="BW148" s="253">
        <v>0</v>
      </c>
      <c r="BX148" s="253">
        <v>0</v>
      </c>
      <c r="BY148" s="253"/>
      <c r="BZ148" s="253"/>
      <c r="CA148" s="253"/>
      <c r="CB148" s="70">
        <v>0</v>
      </c>
      <c r="CC148" s="70">
        <v>0</v>
      </c>
      <c r="CD148" s="70">
        <v>0</v>
      </c>
      <c r="CE148" s="70"/>
      <c r="CF148" s="70"/>
      <c r="CG148" s="70"/>
      <c r="CH148" s="70">
        <v>1</v>
      </c>
      <c r="CI148" s="70"/>
      <c r="CJ148" s="70">
        <v>1</v>
      </c>
      <c r="CK148" s="70">
        <v>0</v>
      </c>
      <c r="CL148" s="70">
        <v>0</v>
      </c>
      <c r="CM148" s="47">
        <v>341</v>
      </c>
      <c r="CN148" s="47">
        <v>279</v>
      </c>
      <c r="CP148" s="504">
        <v>30.3</v>
      </c>
      <c r="CQ148" s="504">
        <v>30.7</v>
      </c>
      <c r="CR148" s="352">
        <v>41834</v>
      </c>
      <c r="CS148" s="352">
        <v>41961</v>
      </c>
      <c r="CT148" s="78">
        <v>126</v>
      </c>
      <c r="CU148" s="79">
        <v>42558</v>
      </c>
      <c r="CV148" s="369">
        <v>0</v>
      </c>
      <c r="CW148" s="352"/>
      <c r="CX148" s="369">
        <v>0</v>
      </c>
      <c r="CY148" s="369">
        <v>0</v>
      </c>
      <c r="CZ148" s="369">
        <v>0</v>
      </c>
      <c r="DA148" s="352"/>
      <c r="DB148" s="369">
        <v>0</v>
      </c>
      <c r="DC148" s="352"/>
      <c r="DD148" s="369">
        <v>0</v>
      </c>
      <c r="DE148" s="352"/>
      <c r="DF148" s="369">
        <v>0</v>
      </c>
      <c r="DG148" s="352"/>
      <c r="DH148" s="352"/>
      <c r="DI148" s="70"/>
      <c r="DJ148" s="377">
        <v>0</v>
      </c>
      <c r="DK148" s="378"/>
      <c r="DL148" s="253"/>
      <c r="DM148" s="253"/>
      <c r="DN148" s="253"/>
      <c r="DO148" s="253"/>
      <c r="DP148" s="253"/>
      <c r="DQ148" s="70"/>
      <c r="DR148" s="70"/>
      <c r="DS148" s="70"/>
      <c r="DT148" s="70"/>
      <c r="DU148" s="70"/>
      <c r="DV148" s="70"/>
      <c r="DW148" s="70"/>
      <c r="DX148" s="70"/>
      <c r="DY148" s="70"/>
      <c r="DZ148" s="70"/>
      <c r="EA148" s="70"/>
      <c r="EB148" s="70"/>
      <c r="EC148" s="70"/>
      <c r="ED148" s="70"/>
      <c r="EE148" s="70"/>
      <c r="EF148" s="70"/>
      <c r="EG148" s="70"/>
      <c r="EH148" s="70"/>
      <c r="EI148" s="70"/>
    </row>
    <row r="149" spans="1:139" s="390" customFormat="1" ht="39.75" customHeight="1">
      <c r="A149" s="385">
        <v>280</v>
      </c>
      <c r="B149" s="386">
        <v>41808</v>
      </c>
      <c r="C149" s="387">
        <v>41808.570833333331</v>
      </c>
      <c r="D149" s="388">
        <v>13728965</v>
      </c>
      <c r="E149" s="389" t="s">
        <v>694</v>
      </c>
      <c r="F149" s="390" t="b">
        <v>1</v>
      </c>
      <c r="H149" s="389" t="s">
        <v>441</v>
      </c>
      <c r="I149" s="391">
        <v>20422</v>
      </c>
      <c r="J149" s="392">
        <v>58.591780821917808</v>
      </c>
      <c r="K149" s="393">
        <v>703.02432610124913</v>
      </c>
      <c r="L149" s="389" t="s">
        <v>500</v>
      </c>
      <c r="M149" s="394" t="s">
        <v>695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v>0</v>
      </c>
      <c r="AK149" s="399">
        <f t="shared" si="4"/>
        <v>1</v>
      </c>
      <c r="AL149" s="400" t="s">
        <v>696</v>
      </c>
      <c r="AM149" s="386">
        <v>41802</v>
      </c>
      <c r="AN149" s="389" t="s">
        <v>1872</v>
      </c>
      <c r="AO149" s="401">
        <v>41851</v>
      </c>
      <c r="AP149" s="385" t="s">
        <v>260</v>
      </c>
      <c r="AQ149" s="402">
        <v>41802</v>
      </c>
      <c r="AR149" s="396">
        <v>1</v>
      </c>
      <c r="AS149" s="396" t="s">
        <v>697</v>
      </c>
      <c r="AT149" s="399">
        <v>0</v>
      </c>
      <c r="AU149" s="396">
        <v>0</v>
      </c>
      <c r="AV149" s="396">
        <v>0</v>
      </c>
      <c r="AW149" s="396">
        <v>1</v>
      </c>
      <c r="AX149" s="403" t="s">
        <v>698</v>
      </c>
      <c r="AY149" s="403"/>
      <c r="AZ149" s="403"/>
      <c r="BA149" s="390">
        <v>0</v>
      </c>
      <c r="BB149" s="404">
        <v>1</v>
      </c>
      <c r="BC149" s="404">
        <v>20</v>
      </c>
      <c r="BD149" s="404">
        <v>0</v>
      </c>
      <c r="BE149" s="404">
        <v>0</v>
      </c>
      <c r="BF149" s="405">
        <v>0</v>
      </c>
      <c r="BG149" s="769">
        <v>0</v>
      </c>
      <c r="BH149" s="769"/>
      <c r="BI149" s="406">
        <v>1</v>
      </c>
      <c r="BJ149" s="407"/>
      <c r="BK149" s="407">
        <v>1</v>
      </c>
      <c r="BL149" s="407" t="s">
        <v>1862</v>
      </c>
      <c r="BM149" s="407">
        <v>0</v>
      </c>
      <c r="BN149" s="407"/>
      <c r="BO149" s="407">
        <v>0</v>
      </c>
      <c r="BP149" s="407">
        <v>0</v>
      </c>
      <c r="BQ149" s="407">
        <v>0</v>
      </c>
      <c r="BR149" s="407">
        <v>0</v>
      </c>
      <c r="BS149" s="408">
        <v>0</v>
      </c>
      <c r="BT149" s="409">
        <v>0</v>
      </c>
      <c r="BU149" s="410"/>
      <c r="BV149" s="410">
        <v>0</v>
      </c>
      <c r="BW149" s="410">
        <v>1</v>
      </c>
      <c r="BX149" s="410">
        <v>0</v>
      </c>
      <c r="BY149" s="410"/>
      <c r="BZ149" s="410"/>
      <c r="CA149" s="411" t="s">
        <v>1873</v>
      </c>
      <c r="CB149" s="412">
        <v>0</v>
      </c>
      <c r="CC149" s="412">
        <v>0</v>
      </c>
      <c r="CD149" s="412">
        <v>0</v>
      </c>
      <c r="CE149" s="412"/>
      <c r="CF149" s="412"/>
      <c r="CG149" s="411"/>
      <c r="CH149" s="411">
        <v>0</v>
      </c>
      <c r="CI149" s="411"/>
      <c r="CJ149" s="411">
        <v>0</v>
      </c>
      <c r="CK149" s="411">
        <v>0</v>
      </c>
      <c r="CL149" s="411">
        <v>0</v>
      </c>
      <c r="CM149" s="390">
        <v>81</v>
      </c>
      <c r="CN149" s="390">
        <v>57</v>
      </c>
      <c r="CP149" s="507">
        <v>30.5</v>
      </c>
      <c r="CQ149" s="507">
        <v>32</v>
      </c>
      <c r="CR149" s="386">
        <v>41802</v>
      </c>
      <c r="CS149" s="386">
        <v>41838</v>
      </c>
      <c r="CT149" s="413">
        <v>30</v>
      </c>
      <c r="CU149" s="414">
        <v>44042</v>
      </c>
      <c r="CV149" s="415">
        <v>0</v>
      </c>
      <c r="CW149" s="386"/>
      <c r="CX149" s="415">
        <v>0</v>
      </c>
      <c r="CY149" s="415">
        <v>0</v>
      </c>
      <c r="CZ149" s="415">
        <v>0</v>
      </c>
      <c r="DA149" s="386"/>
      <c r="DB149" s="415">
        <v>0</v>
      </c>
      <c r="DC149" s="386"/>
      <c r="DD149" s="415">
        <v>0</v>
      </c>
      <c r="DE149" s="386"/>
      <c r="DF149" s="415">
        <v>0</v>
      </c>
      <c r="DG149" s="386"/>
      <c r="DH149" s="386"/>
      <c r="DI149" s="411"/>
      <c r="DJ149" s="407">
        <v>0</v>
      </c>
      <c r="DK149" s="416"/>
      <c r="DL149" s="410"/>
      <c r="DM149" s="410"/>
      <c r="DN149" s="410"/>
      <c r="DO149" s="410"/>
      <c r="DP149" s="410"/>
      <c r="DQ149" s="411"/>
      <c r="DR149" s="411"/>
      <c r="DS149" s="411"/>
      <c r="DT149" s="411"/>
      <c r="DU149" s="411"/>
      <c r="DV149" s="411"/>
      <c r="DW149" s="411"/>
      <c r="DX149" s="411"/>
      <c r="DY149" s="411"/>
      <c r="DZ149" s="411"/>
      <c r="EA149" s="411"/>
      <c r="EB149" s="411"/>
      <c r="EC149" s="411"/>
      <c r="ED149" s="411"/>
      <c r="EE149" s="411"/>
      <c r="EF149" s="411"/>
      <c r="EG149" s="411"/>
      <c r="EH149" s="411"/>
      <c r="EI149" s="411"/>
    </row>
    <row r="150" spans="1:139" s="48" customFormat="1" ht="39.75" customHeight="1">
      <c r="A150" s="60">
        <v>281</v>
      </c>
      <c r="B150" s="114">
        <v>41802</v>
      </c>
      <c r="C150" s="62">
        <v>41802.509722222225</v>
      </c>
      <c r="D150" s="115">
        <v>32560139</v>
      </c>
      <c r="E150" s="119" t="s">
        <v>699</v>
      </c>
      <c r="F150" s="48" t="b">
        <v>0</v>
      </c>
      <c r="G150" s="48" t="s">
        <v>1487</v>
      </c>
      <c r="H150" s="119" t="s">
        <v>418</v>
      </c>
      <c r="I150" s="381">
        <v>20636</v>
      </c>
      <c r="J150" s="110">
        <v>57.989041095890414</v>
      </c>
      <c r="K150" s="85">
        <v>695.7922419460881</v>
      </c>
      <c r="L150" s="119" t="s">
        <v>419</v>
      </c>
      <c r="M150" s="370" t="s">
        <v>700</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72"/>
      <c r="AK150" s="324">
        <f t="shared" si="4"/>
        <v>0</v>
      </c>
      <c r="AL150" s="370"/>
      <c r="AM150" s="373"/>
      <c r="AN150" s="91"/>
      <c r="AO150" s="61"/>
      <c r="AP150" s="119"/>
      <c r="AQ150" s="373"/>
      <c r="AR150" s="91"/>
      <c r="AS150" s="91"/>
      <c r="AT150" s="372"/>
      <c r="AU150" s="91"/>
      <c r="AV150" s="91"/>
      <c r="AW150" s="91"/>
      <c r="AX150" s="91" t="s">
        <v>701</v>
      </c>
      <c r="AY150" s="91">
        <v>1</v>
      </c>
      <c r="AZ150" s="91"/>
      <c r="BB150" s="82"/>
      <c r="BC150" s="82"/>
      <c r="BD150" s="82"/>
      <c r="BE150" s="82"/>
      <c r="BF150" s="235"/>
      <c r="BG150" s="767"/>
      <c r="BH150" s="767"/>
      <c r="BI150" s="382"/>
      <c r="BJ150" s="383"/>
      <c r="BK150" s="383"/>
      <c r="BL150" s="383"/>
      <c r="BM150" s="383"/>
      <c r="BN150" s="383"/>
      <c r="BO150" s="383"/>
      <c r="BP150" s="383"/>
      <c r="BQ150" s="383"/>
      <c r="BR150" s="383"/>
      <c r="BS150" s="245"/>
      <c r="BT150" s="239" t="s">
        <v>174</v>
      </c>
      <c r="BU150" s="118"/>
      <c r="BV150" s="118"/>
      <c r="BW150" s="118"/>
      <c r="BX150" s="118"/>
      <c r="BY150" s="118"/>
      <c r="BZ150" s="118"/>
      <c r="CA150" s="118"/>
      <c r="CB150" s="71"/>
      <c r="CC150" s="71"/>
      <c r="CD150" s="71"/>
      <c r="CE150" s="71"/>
      <c r="CF150" s="71"/>
      <c r="CG150" s="71"/>
      <c r="CH150" s="71"/>
      <c r="CI150" s="71"/>
      <c r="CJ150" s="71"/>
      <c r="CK150" s="71"/>
      <c r="CL150" s="71"/>
      <c r="CM150" s="48">
        <v>253</v>
      </c>
      <c r="CN150" s="48">
        <v>219</v>
      </c>
      <c r="CP150" s="505">
        <v>28.1</v>
      </c>
      <c r="CQ150" s="505">
        <v>28.7</v>
      </c>
      <c r="CR150" s="114">
        <v>41801</v>
      </c>
      <c r="CS150" s="114">
        <v>41846</v>
      </c>
      <c r="CT150" s="83">
        <v>44</v>
      </c>
      <c r="CU150" s="84"/>
      <c r="CV150" s="121"/>
      <c r="CW150" s="114"/>
      <c r="CX150" s="121"/>
      <c r="CY150" s="121"/>
      <c r="CZ150" s="121"/>
      <c r="DA150" s="114"/>
      <c r="DB150" s="121"/>
      <c r="DC150" s="114"/>
      <c r="DD150" s="121"/>
      <c r="DE150" s="114"/>
      <c r="DF150" s="121"/>
      <c r="DG150" s="114"/>
      <c r="DH150" s="114"/>
      <c r="DI150" s="71"/>
      <c r="DJ150" s="383">
        <v>0</v>
      </c>
      <c r="DK150" s="384"/>
      <c r="DL150" s="118"/>
      <c r="DM150" s="118"/>
      <c r="DN150" s="118"/>
      <c r="DO150" s="118"/>
      <c r="DP150" s="118"/>
      <c r="DQ150" s="71"/>
      <c r="DR150" s="71"/>
      <c r="DS150" s="71"/>
      <c r="DT150" s="71"/>
      <c r="DU150" s="71"/>
      <c r="DV150" s="71"/>
      <c r="DW150" s="71"/>
      <c r="DX150" s="71"/>
      <c r="DY150" s="71"/>
      <c r="DZ150" s="71"/>
      <c r="EA150" s="71"/>
      <c r="EB150" s="71"/>
      <c r="EC150" s="71"/>
      <c r="ED150" s="71"/>
      <c r="EE150" s="71"/>
      <c r="EF150" s="71"/>
      <c r="EG150" s="71"/>
      <c r="EH150" s="71"/>
      <c r="EI150" s="71"/>
    </row>
    <row r="151" spans="1:139" s="48" customFormat="1" ht="39.75" customHeight="1">
      <c r="A151" s="60">
        <v>283</v>
      </c>
      <c r="B151" s="114">
        <v>41771</v>
      </c>
      <c r="C151" s="62">
        <v>41771.293749999997</v>
      </c>
      <c r="D151" s="115">
        <v>27149811</v>
      </c>
      <c r="E151" s="119" t="s">
        <v>702</v>
      </c>
      <c r="F151" s="48" t="b">
        <v>0</v>
      </c>
      <c r="G151" s="48" t="s">
        <v>1487</v>
      </c>
      <c r="H151" s="119" t="s">
        <v>418</v>
      </c>
      <c r="I151" s="381">
        <v>24975</v>
      </c>
      <c r="J151" s="110">
        <v>46.016438356164386</v>
      </c>
      <c r="K151" s="85">
        <v>552.13675213675208</v>
      </c>
      <c r="L151" s="119" t="s">
        <v>500</v>
      </c>
      <c r="M151" s="370" t="s">
        <v>703</v>
      </c>
      <c r="N151" s="48">
        <v>180</v>
      </c>
      <c r="O151" s="48">
        <v>84.3</v>
      </c>
      <c r="P151" s="48">
        <f t="shared" si="5"/>
        <v>26.018518518518515</v>
      </c>
      <c r="Q151" s="91"/>
      <c r="V151" s="91"/>
      <c r="Y151" s="216"/>
      <c r="Z151" s="371"/>
      <c r="AA151" s="372"/>
      <c r="AB151" s="372"/>
      <c r="AC151" s="372"/>
      <c r="AD151" s="372"/>
      <c r="AE151" s="372"/>
      <c r="AF151" s="372"/>
      <c r="AG151" s="372"/>
      <c r="AH151" s="372"/>
      <c r="AI151" s="372"/>
      <c r="AJ151" s="372"/>
      <c r="AK151" s="324">
        <f t="shared" si="4"/>
        <v>1</v>
      </c>
      <c r="AL151" s="370"/>
      <c r="AM151" s="373"/>
      <c r="AN151" s="91"/>
      <c r="AO151" s="61"/>
      <c r="AP151" s="119"/>
      <c r="AQ151" s="373"/>
      <c r="AR151" s="91"/>
      <c r="AS151" s="91"/>
      <c r="AT151" s="372"/>
      <c r="AU151" s="91"/>
      <c r="AV151" s="91"/>
      <c r="AW151" s="91"/>
      <c r="AX151" s="91" t="s">
        <v>704</v>
      </c>
      <c r="AY151" s="91"/>
      <c r="AZ151" s="91"/>
      <c r="BB151" s="82"/>
      <c r="BC151" s="82"/>
      <c r="BD151" s="82"/>
      <c r="BE151" s="82"/>
      <c r="BF151" s="235"/>
      <c r="BG151" s="767"/>
      <c r="BH151" s="767"/>
      <c r="BI151" s="382"/>
      <c r="BJ151" s="383"/>
      <c r="BK151" s="383"/>
      <c r="BL151" s="383"/>
      <c r="BM151" s="383"/>
      <c r="BN151" s="383"/>
      <c r="BO151" s="383"/>
      <c r="BP151" s="383"/>
      <c r="BQ151" s="383"/>
      <c r="BR151" s="383"/>
      <c r="BS151" s="245"/>
      <c r="BT151" s="239" t="s">
        <v>174</v>
      </c>
      <c r="BU151" s="118"/>
      <c r="BV151" s="118"/>
      <c r="BW151" s="118"/>
      <c r="BX151" s="118"/>
      <c r="BY151" s="118"/>
      <c r="BZ151" s="118"/>
      <c r="CA151" s="118"/>
      <c r="CB151" s="71"/>
      <c r="CC151" s="71"/>
      <c r="CD151" s="71"/>
      <c r="CE151" s="71"/>
      <c r="CF151" s="71"/>
      <c r="CG151" s="71"/>
      <c r="CH151" s="71"/>
      <c r="CI151" s="71"/>
      <c r="CJ151" s="71"/>
      <c r="CK151" s="71"/>
      <c r="CL151" s="71"/>
      <c r="CM151" s="48">
        <v>183</v>
      </c>
      <c r="CN151" s="48">
        <v>132</v>
      </c>
      <c r="CP151" s="505">
        <v>28</v>
      </c>
      <c r="CQ151" s="505">
        <v>29.8</v>
      </c>
      <c r="CR151" s="114">
        <v>41765</v>
      </c>
      <c r="CS151" s="114">
        <v>41792</v>
      </c>
      <c r="CT151" s="83">
        <v>21</v>
      </c>
      <c r="CU151" s="84"/>
      <c r="CV151" s="121"/>
      <c r="CW151" s="114"/>
      <c r="CX151" s="121"/>
      <c r="CY151" s="121"/>
      <c r="CZ151" s="121"/>
      <c r="DA151" s="114"/>
      <c r="DB151" s="121"/>
      <c r="DC151" s="114"/>
      <c r="DD151" s="121"/>
      <c r="DE151" s="114"/>
      <c r="DF151" s="121"/>
      <c r="DG151" s="114"/>
      <c r="DH151" s="114"/>
      <c r="DI151" s="71"/>
      <c r="DJ151" s="383">
        <v>0</v>
      </c>
      <c r="DK151" s="384"/>
      <c r="DL151" s="118"/>
      <c r="DM151" s="118"/>
      <c r="DN151" s="118"/>
      <c r="DO151" s="118"/>
      <c r="DP151" s="118"/>
      <c r="DQ151" s="71"/>
      <c r="DR151" s="71"/>
      <c r="DS151" s="71"/>
      <c r="DT151" s="71"/>
      <c r="DU151" s="71"/>
      <c r="DV151" s="71"/>
      <c r="DW151" s="71"/>
      <c r="DX151" s="71"/>
      <c r="DY151" s="71"/>
      <c r="DZ151" s="71"/>
      <c r="EA151" s="71"/>
      <c r="EB151" s="71"/>
      <c r="EC151" s="71"/>
      <c r="ED151" s="71"/>
      <c r="EE151" s="71"/>
      <c r="EF151" s="71"/>
      <c r="EG151" s="71"/>
      <c r="EH151" s="71"/>
      <c r="EI151" s="71"/>
    </row>
    <row r="152" spans="1:139" s="47" customFormat="1" ht="39.75" customHeight="1">
      <c r="A152" s="50">
        <v>285</v>
      </c>
      <c r="B152" s="352">
        <v>41717</v>
      </c>
      <c r="C152" s="55">
        <v>41717.572916666664</v>
      </c>
      <c r="D152" s="353">
        <v>26618486</v>
      </c>
      <c r="E152" s="359" t="s">
        <v>705</v>
      </c>
      <c r="F152" s="47" t="b">
        <v>1</v>
      </c>
      <c r="H152" s="359" t="s">
        <v>441</v>
      </c>
      <c r="I152" s="417">
        <v>28542</v>
      </c>
      <c r="J152" s="255">
        <v>36.095890410958901</v>
      </c>
      <c r="K152" s="181">
        <v>433.10322156476002</v>
      </c>
      <c r="L152" s="359" t="s">
        <v>493</v>
      </c>
      <c r="M152" s="355" t="s">
        <v>706</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57">
        <v>0</v>
      </c>
      <c r="AK152" s="323">
        <f t="shared" si="4"/>
        <v>0</v>
      </c>
      <c r="AL152" s="355"/>
      <c r="AM152" s="358">
        <v>41713</v>
      </c>
      <c r="AN152" s="193" t="s">
        <v>1610</v>
      </c>
      <c r="AO152" s="54">
        <v>41759</v>
      </c>
      <c r="AP152" s="359" t="s">
        <v>1489</v>
      </c>
      <c r="AQ152" s="358">
        <v>41712</v>
      </c>
      <c r="AR152" s="193">
        <v>1</v>
      </c>
      <c r="AS152" s="193" t="s">
        <v>1874</v>
      </c>
      <c r="AT152" s="357">
        <v>0</v>
      </c>
      <c r="AU152" s="193">
        <v>1</v>
      </c>
      <c r="AV152" s="193">
        <v>0</v>
      </c>
      <c r="AW152" s="193">
        <v>0</v>
      </c>
      <c r="AX152" s="193" t="s">
        <v>707</v>
      </c>
      <c r="AY152" s="193"/>
      <c r="AZ152" s="193" t="s">
        <v>1503</v>
      </c>
      <c r="BA152" s="47">
        <v>0</v>
      </c>
      <c r="BB152" s="69">
        <v>1</v>
      </c>
      <c r="BC152" s="69"/>
      <c r="BD152" s="69">
        <v>0</v>
      </c>
      <c r="BE152" s="69">
        <v>0</v>
      </c>
      <c r="BF152" s="234">
        <v>0</v>
      </c>
      <c r="BG152" s="766">
        <v>1</v>
      </c>
      <c r="BH152" s="766" t="s">
        <v>2004</v>
      </c>
      <c r="BI152" s="376">
        <v>0</v>
      </c>
      <c r="BJ152" s="377"/>
      <c r="BK152" s="377">
        <v>0</v>
      </c>
      <c r="BL152" s="377"/>
      <c r="BM152" s="377">
        <v>0</v>
      </c>
      <c r="BN152" s="377"/>
      <c r="BO152" s="377">
        <v>0</v>
      </c>
      <c r="BP152" s="377">
        <v>0</v>
      </c>
      <c r="BQ152" s="377">
        <v>0</v>
      </c>
      <c r="BR152" s="377">
        <v>0</v>
      </c>
      <c r="BS152" s="242">
        <v>0</v>
      </c>
      <c r="BT152" s="252">
        <v>1</v>
      </c>
      <c r="BU152" s="253" t="s">
        <v>1875</v>
      </c>
      <c r="BV152" s="253">
        <v>0</v>
      </c>
      <c r="BW152" s="253">
        <v>0</v>
      </c>
      <c r="BX152" s="253">
        <v>0</v>
      </c>
      <c r="BY152" s="253"/>
      <c r="BZ152" s="253"/>
      <c r="CA152" s="253"/>
      <c r="CB152" s="70">
        <v>0</v>
      </c>
      <c r="CC152" s="70">
        <v>0</v>
      </c>
      <c r="CD152" s="70">
        <v>0</v>
      </c>
      <c r="CE152" s="70"/>
      <c r="CF152" s="70"/>
      <c r="CG152" s="70"/>
      <c r="CH152" s="70">
        <v>0</v>
      </c>
      <c r="CI152" s="70"/>
      <c r="CJ152" s="70">
        <v>0</v>
      </c>
      <c r="CK152" s="70">
        <v>0</v>
      </c>
      <c r="CL152" s="70">
        <v>0</v>
      </c>
      <c r="CM152" s="47">
        <v>139</v>
      </c>
      <c r="CN152" s="47">
        <v>121</v>
      </c>
      <c r="CP152" s="504">
        <v>29</v>
      </c>
      <c r="CQ152" s="504">
        <v>30</v>
      </c>
      <c r="CR152" s="352">
        <v>41713</v>
      </c>
      <c r="CS152" s="352">
        <v>41755</v>
      </c>
      <c r="CT152" s="78">
        <v>38</v>
      </c>
      <c r="CU152" s="79">
        <v>44065</v>
      </c>
      <c r="CV152" s="369">
        <v>0</v>
      </c>
      <c r="CW152" s="352"/>
      <c r="CX152" s="369">
        <v>0</v>
      </c>
      <c r="CY152" s="369">
        <v>0</v>
      </c>
      <c r="CZ152" s="369">
        <v>0</v>
      </c>
      <c r="DA152" s="352"/>
      <c r="DB152" s="369">
        <v>0</v>
      </c>
      <c r="DC152" s="352"/>
      <c r="DD152" s="369">
        <v>0</v>
      </c>
      <c r="DE152" s="352"/>
      <c r="DF152" s="369">
        <v>0</v>
      </c>
      <c r="DG152" s="352"/>
      <c r="DH152" s="352"/>
      <c r="DI152" s="70"/>
      <c r="DJ152" s="377">
        <v>0</v>
      </c>
      <c r="DK152" s="378"/>
      <c r="DL152" s="253"/>
      <c r="DM152" s="253"/>
      <c r="DN152" s="253"/>
      <c r="DO152" s="253"/>
      <c r="DP152" s="253"/>
      <c r="DQ152" s="70"/>
      <c r="DR152" s="70"/>
      <c r="DS152" s="70"/>
      <c r="DT152" s="70"/>
      <c r="DU152" s="70"/>
      <c r="DV152" s="70"/>
      <c r="DW152" s="70"/>
      <c r="DX152" s="70"/>
      <c r="DY152" s="70"/>
      <c r="DZ152" s="70"/>
      <c r="EA152" s="70"/>
      <c r="EB152" s="70"/>
      <c r="EC152" s="70"/>
      <c r="ED152" s="70"/>
      <c r="EE152" s="70"/>
      <c r="EF152" s="70"/>
      <c r="EG152" s="70"/>
      <c r="EH152" s="70"/>
      <c r="EI152" s="70"/>
    </row>
    <row r="153" spans="1:139" s="47" customFormat="1" ht="39.75" customHeight="1">
      <c r="A153" s="50">
        <v>289</v>
      </c>
      <c r="B153" s="352">
        <v>41666</v>
      </c>
      <c r="C153" s="55">
        <v>41666.60833333333</v>
      </c>
      <c r="D153" s="353">
        <v>31993646</v>
      </c>
      <c r="E153" s="359" t="s">
        <v>708</v>
      </c>
      <c r="F153" s="47" t="b">
        <v>1</v>
      </c>
      <c r="H153" s="359" t="s">
        <v>418</v>
      </c>
      <c r="I153" s="417">
        <v>14329</v>
      </c>
      <c r="J153" s="255">
        <v>74.895890410958899</v>
      </c>
      <c r="K153" s="181">
        <v>898.65220249835625</v>
      </c>
      <c r="L153" s="359" t="s">
        <v>419</v>
      </c>
      <c r="M153" s="355" t="s">
        <v>709</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57">
        <v>0</v>
      </c>
      <c r="AK153" s="323">
        <f t="shared" si="4"/>
        <v>0</v>
      </c>
      <c r="AL153" s="355"/>
      <c r="AM153" s="358">
        <v>41648</v>
      </c>
      <c r="AN153" s="193" t="s">
        <v>1598</v>
      </c>
      <c r="AO153" s="54">
        <v>41708</v>
      </c>
      <c r="AP153" s="359" t="s">
        <v>1531</v>
      </c>
      <c r="AQ153" s="358">
        <v>41648</v>
      </c>
      <c r="AR153" s="193">
        <v>1</v>
      </c>
      <c r="AS153" s="193" t="s">
        <v>1876</v>
      </c>
      <c r="AT153" s="357">
        <v>0</v>
      </c>
      <c r="AU153" s="193">
        <v>0</v>
      </c>
      <c r="AV153" s="193">
        <v>0</v>
      </c>
      <c r="AW153" s="193">
        <v>1</v>
      </c>
      <c r="AX153" s="193" t="s">
        <v>710</v>
      </c>
      <c r="AY153" s="193"/>
      <c r="AZ153" s="193" t="s">
        <v>1537</v>
      </c>
      <c r="BA153" s="47">
        <v>0</v>
      </c>
      <c r="BB153" s="69">
        <v>1</v>
      </c>
      <c r="BC153" s="69">
        <v>10</v>
      </c>
      <c r="BD153" s="69">
        <v>1</v>
      </c>
      <c r="BE153" s="69">
        <v>0</v>
      </c>
      <c r="BF153" s="234">
        <v>0</v>
      </c>
      <c r="BG153" s="766">
        <v>0</v>
      </c>
      <c r="BH153" s="766"/>
      <c r="BI153" s="376">
        <v>0</v>
      </c>
      <c r="BJ153" s="377"/>
      <c r="BK153" s="377">
        <v>0</v>
      </c>
      <c r="BL153" s="377"/>
      <c r="BM153" s="377">
        <v>0</v>
      </c>
      <c r="BN153" s="377"/>
      <c r="BO153" s="377">
        <v>0</v>
      </c>
      <c r="BP153" s="377">
        <v>0</v>
      </c>
      <c r="BQ153" s="377">
        <v>0</v>
      </c>
      <c r="BR153" s="377">
        <v>0</v>
      </c>
      <c r="BS153" s="242">
        <v>0</v>
      </c>
      <c r="BT153" s="223">
        <v>1</v>
      </c>
      <c r="BU153" s="70" t="s">
        <v>1871</v>
      </c>
      <c r="BV153" s="70">
        <v>0</v>
      </c>
      <c r="BW153" s="70">
        <v>0</v>
      </c>
      <c r="BX153" s="377">
        <v>0</v>
      </c>
      <c r="BY153" s="377"/>
      <c r="BZ153" s="377"/>
      <c r="CA153" s="377"/>
      <c r="CB153" s="70">
        <v>0</v>
      </c>
      <c r="CC153" s="70">
        <v>1</v>
      </c>
      <c r="CD153" s="70">
        <v>0</v>
      </c>
      <c r="CE153" s="70"/>
      <c r="CF153" s="70" t="s">
        <v>1494</v>
      </c>
      <c r="CG153" s="70" t="s">
        <v>1877</v>
      </c>
      <c r="CH153" s="70">
        <v>1</v>
      </c>
      <c r="CI153" s="70"/>
      <c r="CJ153" s="70">
        <v>1</v>
      </c>
      <c r="CK153" s="70">
        <v>0</v>
      </c>
      <c r="CL153" s="70">
        <v>0</v>
      </c>
      <c r="CM153" s="47">
        <v>194</v>
      </c>
      <c r="CN153" s="47">
        <v>161</v>
      </c>
      <c r="CP153" s="504">
        <v>28.2</v>
      </c>
      <c r="CQ153" s="504">
        <v>29.6</v>
      </c>
      <c r="CR153" s="352">
        <v>41656</v>
      </c>
      <c r="CS153" s="352">
        <v>41688</v>
      </c>
      <c r="CT153" s="78">
        <v>22</v>
      </c>
      <c r="CU153" s="79">
        <v>41688</v>
      </c>
      <c r="CV153" s="369">
        <v>0</v>
      </c>
      <c r="CW153" s="352"/>
      <c r="CX153" s="369">
        <v>0</v>
      </c>
      <c r="CY153" s="369">
        <v>0</v>
      </c>
      <c r="CZ153" s="369">
        <v>0</v>
      </c>
      <c r="DA153" s="352"/>
      <c r="DB153" s="369">
        <v>0</v>
      </c>
      <c r="DC153" s="352"/>
      <c r="DD153" s="369">
        <v>0</v>
      </c>
      <c r="DE153" s="352"/>
      <c r="DF153" s="369">
        <v>0</v>
      </c>
      <c r="DG153" s="352"/>
      <c r="DH153" s="352"/>
      <c r="DI153" s="70"/>
      <c r="DJ153" s="377">
        <v>0</v>
      </c>
      <c r="DK153" s="378"/>
      <c r="DL153" s="377"/>
      <c r="DM153" s="377"/>
      <c r="DN153" s="377"/>
      <c r="DO153" s="377"/>
      <c r="DP153" s="377"/>
      <c r="DQ153" s="70"/>
      <c r="DR153" s="70"/>
      <c r="DS153" s="70"/>
      <c r="DT153" s="70"/>
      <c r="DU153" s="70"/>
      <c r="DV153" s="70"/>
      <c r="DW153" s="70"/>
      <c r="DX153" s="70"/>
      <c r="DY153" s="70"/>
      <c r="DZ153" s="70"/>
      <c r="EA153" s="70"/>
      <c r="EB153" s="70"/>
      <c r="EC153" s="70"/>
      <c r="ED153" s="70"/>
      <c r="EE153" s="70"/>
      <c r="EF153" s="70"/>
      <c r="EG153" s="70"/>
      <c r="EH153" s="70"/>
      <c r="EI153" s="70"/>
    </row>
    <row r="154" spans="1:139" s="47" customFormat="1" ht="39.75" customHeight="1">
      <c r="A154" s="50">
        <v>293</v>
      </c>
      <c r="B154" s="418">
        <v>41633</v>
      </c>
      <c r="C154" s="55">
        <v>41633.385416666664</v>
      </c>
      <c r="D154" s="419">
        <v>31836583</v>
      </c>
      <c r="E154" s="420" t="s">
        <v>711</v>
      </c>
      <c r="F154" s="47" t="b">
        <v>1</v>
      </c>
      <c r="H154" s="420" t="s">
        <v>418</v>
      </c>
      <c r="I154" s="421" t="s">
        <v>712</v>
      </c>
      <c r="J154" s="255">
        <v>36.224657534246575</v>
      </c>
      <c r="K154" s="181">
        <v>434.64825772518077</v>
      </c>
      <c r="L154" s="420" t="s">
        <v>493</v>
      </c>
      <c r="M154" s="422" t="s">
        <v>713</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425">
        <v>0</v>
      </c>
      <c r="AK154" s="323">
        <f t="shared" si="4"/>
        <v>0</v>
      </c>
      <c r="AL154" s="422"/>
      <c r="AM154" s="426">
        <v>41625</v>
      </c>
      <c r="AN154" s="423" t="s">
        <v>1717</v>
      </c>
      <c r="AO154" s="54">
        <v>41693</v>
      </c>
      <c r="AP154" s="420" t="s">
        <v>1878</v>
      </c>
      <c r="AQ154" s="426">
        <v>41625</v>
      </c>
      <c r="AR154" s="423">
        <v>0</v>
      </c>
      <c r="AS154" s="423"/>
      <c r="AT154" s="425">
        <v>0</v>
      </c>
      <c r="AU154" s="423">
        <v>0</v>
      </c>
      <c r="AV154" s="423">
        <v>0</v>
      </c>
      <c r="AW154" s="423">
        <v>1</v>
      </c>
      <c r="AX154" s="423" t="s">
        <v>715</v>
      </c>
      <c r="AY154" s="70"/>
      <c r="AZ154" s="70" t="s">
        <v>1879</v>
      </c>
      <c r="BA154" s="47">
        <v>0</v>
      </c>
      <c r="BB154" s="69">
        <v>1</v>
      </c>
      <c r="BC154" s="69">
        <v>30</v>
      </c>
      <c r="BD154" s="69">
        <v>1</v>
      </c>
      <c r="BE154" s="69">
        <v>0</v>
      </c>
      <c r="BF154" s="234">
        <v>0</v>
      </c>
      <c r="BG154" s="766">
        <v>1</v>
      </c>
      <c r="BH154" s="766" t="s">
        <v>2004</v>
      </c>
      <c r="BI154" s="223">
        <v>0</v>
      </c>
      <c r="BJ154" s="70"/>
      <c r="BK154" s="70">
        <v>0</v>
      </c>
      <c r="BL154" s="70"/>
      <c r="BM154" s="70">
        <v>0</v>
      </c>
      <c r="BN154" s="70"/>
      <c r="BO154" s="70">
        <v>0</v>
      </c>
      <c r="BP154" s="70">
        <v>0</v>
      </c>
      <c r="BQ154" s="70">
        <v>0</v>
      </c>
      <c r="BR154" s="70">
        <v>0</v>
      </c>
      <c r="BS154" s="240">
        <v>0</v>
      </c>
      <c r="BT154" s="223">
        <v>1</v>
      </c>
      <c r="BU154" s="70" t="s">
        <v>1880</v>
      </c>
      <c r="BV154" s="70">
        <v>0</v>
      </c>
      <c r="BW154" s="70">
        <v>0</v>
      </c>
      <c r="BX154" s="70">
        <v>0</v>
      </c>
      <c r="BY154" s="70"/>
      <c r="BZ154" s="70"/>
      <c r="CA154" s="70"/>
      <c r="CB154" s="70">
        <v>0</v>
      </c>
      <c r="CC154" s="70">
        <v>0</v>
      </c>
      <c r="CD154" s="70">
        <v>0</v>
      </c>
      <c r="CE154" s="70"/>
      <c r="CF154" s="70"/>
      <c r="CG154" s="70"/>
      <c r="CH154" s="70">
        <v>0</v>
      </c>
      <c r="CI154" s="80"/>
      <c r="CJ154" s="70">
        <v>0</v>
      </c>
      <c r="CK154" s="70">
        <v>0</v>
      </c>
      <c r="CL154" s="70">
        <v>0</v>
      </c>
      <c r="CM154" s="47">
        <v>108</v>
      </c>
      <c r="CN154" s="47">
        <v>93</v>
      </c>
      <c r="CP154" s="504">
        <v>29.6</v>
      </c>
      <c r="CQ154" s="504">
        <v>31.3</v>
      </c>
      <c r="CR154" s="418">
        <v>41632</v>
      </c>
      <c r="CS154" s="418">
        <v>41698</v>
      </c>
      <c r="CT154" s="78">
        <v>65</v>
      </c>
      <c r="CU154" s="79">
        <v>43676</v>
      </c>
      <c r="CV154" s="427">
        <v>0</v>
      </c>
      <c r="CW154" s="418"/>
      <c r="CX154" s="427">
        <v>0</v>
      </c>
      <c r="CY154" s="427">
        <v>0</v>
      </c>
      <c r="CZ154" s="427">
        <v>0</v>
      </c>
      <c r="DA154" s="418"/>
      <c r="DB154" s="427">
        <v>1</v>
      </c>
      <c r="DC154" s="418">
        <v>41649</v>
      </c>
      <c r="DD154" s="427">
        <v>1</v>
      </c>
      <c r="DE154" s="418">
        <v>41651</v>
      </c>
      <c r="DF154" s="427">
        <v>0</v>
      </c>
      <c r="DG154" s="418"/>
      <c r="DH154" s="418"/>
      <c r="DI154" s="70"/>
      <c r="DJ154" s="70">
        <v>0</v>
      </c>
      <c r="DK154" s="255"/>
      <c r="DL154" s="70"/>
      <c r="DM154" s="70"/>
      <c r="DN154" s="70"/>
      <c r="DO154" s="70"/>
      <c r="DP154" s="70"/>
      <c r="DQ154" s="70"/>
      <c r="DR154" s="70"/>
      <c r="DS154" s="70"/>
      <c r="DT154" s="70"/>
      <c r="DU154" s="70"/>
      <c r="DV154" s="70"/>
      <c r="DW154" s="70"/>
      <c r="DX154" s="70"/>
      <c r="DY154" s="70"/>
      <c r="DZ154" s="70"/>
      <c r="EA154" s="70"/>
      <c r="EB154" s="70"/>
      <c r="EC154" s="70"/>
      <c r="ED154" s="70"/>
      <c r="EE154" s="70"/>
      <c r="EF154" s="70"/>
      <c r="EG154" s="70"/>
      <c r="EH154" s="70"/>
      <c r="EI154" s="70"/>
    </row>
    <row r="155" spans="1:139" s="47" customFormat="1" ht="39.75" customHeight="1">
      <c r="A155" s="50">
        <v>294</v>
      </c>
      <c r="B155" s="418">
        <v>41630</v>
      </c>
      <c r="C155" s="55">
        <v>41630.45416666667</v>
      </c>
      <c r="D155" s="419">
        <v>14938396</v>
      </c>
      <c r="E155" s="420" t="s">
        <v>716</v>
      </c>
      <c r="F155" s="47" t="b">
        <v>1</v>
      </c>
      <c r="H155" s="420" t="s">
        <v>418</v>
      </c>
      <c r="I155" s="421" t="s">
        <v>717</v>
      </c>
      <c r="J155" s="255">
        <v>54.884931506849313</v>
      </c>
      <c r="K155" s="181">
        <v>658.54700854700855</v>
      </c>
      <c r="L155" s="420" t="s">
        <v>419</v>
      </c>
      <c r="M155" s="422" t="s">
        <v>718</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425">
        <v>0</v>
      </c>
      <c r="AK155" s="323">
        <f t="shared" si="4"/>
        <v>0</v>
      </c>
      <c r="AL155" s="422"/>
      <c r="AM155" s="426">
        <v>41625</v>
      </c>
      <c r="AN155" s="423" t="s">
        <v>1592</v>
      </c>
      <c r="AO155" s="54">
        <v>41672</v>
      </c>
      <c r="AP155" s="420" t="s">
        <v>1881</v>
      </c>
      <c r="AQ155" s="426">
        <v>41625</v>
      </c>
      <c r="AR155" s="423">
        <v>0</v>
      </c>
      <c r="AS155" s="423"/>
      <c r="AT155" s="425">
        <v>0</v>
      </c>
      <c r="AU155" s="423">
        <v>1</v>
      </c>
      <c r="AV155" s="423">
        <v>0</v>
      </c>
      <c r="AW155" s="423">
        <v>0</v>
      </c>
      <c r="AX155" s="423" t="s">
        <v>719</v>
      </c>
      <c r="AY155" s="70"/>
      <c r="AZ155" s="70" t="s">
        <v>1882</v>
      </c>
      <c r="BA155" s="47">
        <v>0</v>
      </c>
      <c r="BB155" s="69">
        <v>1</v>
      </c>
      <c r="BC155" s="69"/>
      <c r="BD155" s="69">
        <v>0</v>
      </c>
      <c r="BE155" s="69">
        <v>0</v>
      </c>
      <c r="BF155" s="234">
        <v>0</v>
      </c>
      <c r="BG155" s="766">
        <v>0</v>
      </c>
      <c r="BH155" s="766"/>
      <c r="BI155" s="223">
        <v>0</v>
      </c>
      <c r="BJ155" s="70"/>
      <c r="BK155" s="70">
        <v>0</v>
      </c>
      <c r="BL155" s="70"/>
      <c r="BM155" s="70">
        <v>0</v>
      </c>
      <c r="BN155" s="70"/>
      <c r="BO155" s="70">
        <v>0</v>
      </c>
      <c r="BP155" s="70">
        <v>0</v>
      </c>
      <c r="BQ155" s="70">
        <v>0</v>
      </c>
      <c r="BR155" s="70">
        <v>0</v>
      </c>
      <c r="BS155" s="240">
        <v>0</v>
      </c>
      <c r="BT155" s="223">
        <v>1</v>
      </c>
      <c r="BU155" s="70" t="s">
        <v>1883</v>
      </c>
      <c r="BV155" s="70">
        <v>0</v>
      </c>
      <c r="BW155" s="70">
        <v>0</v>
      </c>
      <c r="BX155" s="70">
        <v>0</v>
      </c>
      <c r="BY155" s="70"/>
      <c r="BZ155" s="70"/>
      <c r="CA155" s="70"/>
      <c r="CB155" s="70">
        <v>0</v>
      </c>
      <c r="CC155" s="70">
        <v>0</v>
      </c>
      <c r="CD155" s="70">
        <v>0</v>
      </c>
      <c r="CE155" s="70"/>
      <c r="CF155" s="70"/>
      <c r="CG155" s="70"/>
      <c r="CH155" s="70">
        <v>1</v>
      </c>
      <c r="CI155" s="70"/>
      <c r="CJ155" s="70">
        <v>1</v>
      </c>
      <c r="CK155" s="70">
        <v>0</v>
      </c>
      <c r="CL155" s="70">
        <v>0</v>
      </c>
      <c r="CM155" s="47">
        <v>106</v>
      </c>
      <c r="CN155" s="47">
        <v>91</v>
      </c>
      <c r="CP155" s="504">
        <v>29.7</v>
      </c>
      <c r="CQ155" s="504">
        <v>32</v>
      </c>
      <c r="CR155" s="418">
        <v>41627</v>
      </c>
      <c r="CS155" s="418">
        <v>41672</v>
      </c>
      <c r="CT155" s="78">
        <v>42</v>
      </c>
      <c r="CU155" s="79">
        <v>44229</v>
      </c>
      <c r="CV155" s="427">
        <v>0</v>
      </c>
      <c r="CW155" s="418"/>
      <c r="CX155" s="427">
        <v>0</v>
      </c>
      <c r="CY155" s="427">
        <v>0</v>
      </c>
      <c r="CZ155" s="427">
        <v>0</v>
      </c>
      <c r="DA155" s="418"/>
      <c r="DB155" s="427">
        <v>0</v>
      </c>
      <c r="DC155" s="418"/>
      <c r="DD155" s="427">
        <v>0</v>
      </c>
      <c r="DE155" s="418"/>
      <c r="DF155" s="427">
        <v>0</v>
      </c>
      <c r="DG155" s="418"/>
      <c r="DH155" s="418"/>
      <c r="DI155" s="70"/>
      <c r="DJ155" s="70">
        <v>0</v>
      </c>
      <c r="DK155" s="255"/>
      <c r="DL155" s="70"/>
      <c r="DM155" s="70"/>
      <c r="DN155" s="70"/>
      <c r="DO155" s="70"/>
      <c r="DP155" s="70"/>
      <c r="DQ155" s="70"/>
      <c r="DR155" s="70"/>
      <c r="DS155" s="70"/>
      <c r="DT155" s="70"/>
      <c r="DU155" s="70"/>
      <c r="DV155" s="70"/>
      <c r="DW155" s="70"/>
      <c r="DX155" s="70"/>
      <c r="DY155" s="70"/>
      <c r="DZ155" s="70"/>
      <c r="EA155" s="70"/>
      <c r="EB155" s="70"/>
      <c r="EC155" s="70"/>
      <c r="ED155" s="70"/>
      <c r="EE155" s="70"/>
      <c r="EF155" s="70"/>
      <c r="EG155" s="70"/>
      <c r="EH155" s="70"/>
      <c r="EI155" s="70"/>
    </row>
    <row r="156" spans="1:139" s="47" customFormat="1" ht="39.75" customHeight="1">
      <c r="A156" s="50">
        <v>295</v>
      </c>
      <c r="B156" s="418">
        <v>41628</v>
      </c>
      <c r="C156" s="55">
        <v>41628.509722222225</v>
      </c>
      <c r="D156" s="419">
        <v>8312016</v>
      </c>
      <c r="E156" s="420" t="s">
        <v>720</v>
      </c>
      <c r="F156" s="47" t="b">
        <v>1</v>
      </c>
      <c r="H156" s="420" t="s">
        <v>418</v>
      </c>
      <c r="I156" s="421" t="s">
        <v>721</v>
      </c>
      <c r="J156" s="255">
        <v>61.876712328767127</v>
      </c>
      <c r="K156" s="181">
        <v>742.439184746877</v>
      </c>
      <c r="L156" s="420" t="s">
        <v>493</v>
      </c>
      <c r="M156" s="422" t="s">
        <v>722</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425">
        <v>0</v>
      </c>
      <c r="AK156" s="323">
        <f t="shared" si="4"/>
        <v>0</v>
      </c>
      <c r="AL156" s="422"/>
      <c r="AM156" s="426">
        <v>41624</v>
      </c>
      <c r="AN156" s="423" t="s">
        <v>1884</v>
      </c>
      <c r="AO156" s="54">
        <v>41656</v>
      </c>
      <c r="AP156" s="420" t="s">
        <v>1885</v>
      </c>
      <c r="AQ156" s="426">
        <v>41624</v>
      </c>
      <c r="AR156" s="423">
        <v>1</v>
      </c>
      <c r="AS156" s="423" t="s">
        <v>1886</v>
      </c>
      <c r="AT156" s="425">
        <v>0</v>
      </c>
      <c r="AU156" s="423">
        <v>0</v>
      </c>
      <c r="AV156" s="423">
        <v>0</v>
      </c>
      <c r="AW156" s="423">
        <v>1</v>
      </c>
      <c r="AX156" s="423" t="s">
        <v>723</v>
      </c>
      <c r="AY156" s="70"/>
      <c r="AZ156" s="70" t="s">
        <v>1887</v>
      </c>
      <c r="BA156" s="47">
        <v>0</v>
      </c>
      <c r="BB156" s="69">
        <v>1</v>
      </c>
      <c r="BC156" s="69">
        <v>15</v>
      </c>
      <c r="BD156" s="69">
        <v>1</v>
      </c>
      <c r="BE156" s="69">
        <v>0</v>
      </c>
      <c r="BF156" s="234">
        <v>0</v>
      </c>
      <c r="BG156" s="766">
        <v>1</v>
      </c>
      <c r="BH156" s="766" t="s">
        <v>2004</v>
      </c>
      <c r="BI156" s="223">
        <v>0</v>
      </c>
      <c r="BJ156" s="70"/>
      <c r="BK156" s="70">
        <v>0</v>
      </c>
      <c r="BL156" s="70"/>
      <c r="BM156" s="70">
        <v>0</v>
      </c>
      <c r="BN156" s="70"/>
      <c r="BO156" s="70">
        <v>0</v>
      </c>
      <c r="BP156" s="70">
        <v>0</v>
      </c>
      <c r="BQ156" s="70">
        <v>0</v>
      </c>
      <c r="BR156" s="70">
        <v>0</v>
      </c>
      <c r="BS156" s="240">
        <v>0</v>
      </c>
      <c r="BT156" s="223">
        <v>1</v>
      </c>
      <c r="BU156" s="70" t="s">
        <v>1888</v>
      </c>
      <c r="BV156" s="70">
        <v>0</v>
      </c>
      <c r="BW156" s="70">
        <v>0</v>
      </c>
      <c r="BX156" s="70">
        <v>0</v>
      </c>
      <c r="BY156" s="70"/>
      <c r="BZ156" s="70"/>
      <c r="CA156" s="70"/>
      <c r="CB156" s="70">
        <v>0</v>
      </c>
      <c r="CC156" s="70">
        <v>0</v>
      </c>
      <c r="CD156" s="70">
        <v>0</v>
      </c>
      <c r="CE156" s="70"/>
      <c r="CF156" s="70"/>
      <c r="CG156" s="70"/>
      <c r="CH156" s="70">
        <v>0</v>
      </c>
      <c r="CI156" s="70"/>
      <c r="CJ156" s="70">
        <v>0</v>
      </c>
      <c r="CK156" s="70">
        <v>0</v>
      </c>
      <c r="CL156" s="70">
        <v>0</v>
      </c>
      <c r="CM156" s="47">
        <v>122</v>
      </c>
      <c r="CN156" s="47">
        <v>98</v>
      </c>
      <c r="CP156" s="504">
        <v>30.2</v>
      </c>
      <c r="CQ156" s="504">
        <v>31.2</v>
      </c>
      <c r="CR156" s="418">
        <v>41624</v>
      </c>
      <c r="CS156" s="418">
        <v>41665</v>
      </c>
      <c r="CT156" s="78">
        <v>37</v>
      </c>
      <c r="CU156" s="79">
        <v>44341</v>
      </c>
      <c r="CV156" s="427">
        <v>0</v>
      </c>
      <c r="CW156" s="418"/>
      <c r="CX156" s="427">
        <v>0</v>
      </c>
      <c r="CY156" s="427">
        <v>0</v>
      </c>
      <c r="CZ156" s="427">
        <v>0</v>
      </c>
      <c r="DA156" s="418"/>
      <c r="DB156" s="427">
        <v>0</v>
      </c>
      <c r="DC156" s="418"/>
      <c r="DD156" s="427">
        <v>0</v>
      </c>
      <c r="DE156" s="418"/>
      <c r="DF156" s="427">
        <v>0</v>
      </c>
      <c r="DG156" s="418"/>
      <c r="DH156" s="418"/>
      <c r="DI156" s="70"/>
      <c r="DJ156" s="70">
        <v>0</v>
      </c>
      <c r="DK156" s="255"/>
      <c r="DL156" s="70"/>
      <c r="DM156" s="70"/>
      <c r="DN156" s="70"/>
      <c r="DO156" s="70"/>
      <c r="DP156" s="70"/>
      <c r="DQ156" s="70"/>
      <c r="DR156" s="70"/>
      <c r="DS156" s="70"/>
      <c r="DT156" s="70"/>
      <c r="DU156" s="70"/>
      <c r="DV156" s="70"/>
      <c r="DW156" s="70"/>
      <c r="DX156" s="70"/>
      <c r="DY156" s="70"/>
      <c r="DZ156" s="70"/>
      <c r="EA156" s="70"/>
      <c r="EB156" s="70"/>
      <c r="EC156" s="70"/>
      <c r="ED156" s="70"/>
      <c r="EE156" s="70"/>
      <c r="EF156" s="70"/>
      <c r="EG156" s="70"/>
      <c r="EH156" s="70"/>
      <c r="EI156" s="70"/>
    </row>
    <row r="157" spans="1:139" s="47" customFormat="1" ht="39.75" customHeight="1">
      <c r="A157" s="50">
        <v>298</v>
      </c>
      <c r="B157" s="418">
        <v>41607</v>
      </c>
      <c r="C157" s="55">
        <v>41607.756944444445</v>
      </c>
      <c r="D157" s="419">
        <v>31724765</v>
      </c>
      <c r="E157" s="420" t="s">
        <v>724</v>
      </c>
      <c r="F157" s="47" t="b">
        <v>1</v>
      </c>
      <c r="H157" s="420" t="s">
        <v>418</v>
      </c>
      <c r="I157" s="421" t="s">
        <v>725</v>
      </c>
      <c r="J157" s="255">
        <v>31.312328767123287</v>
      </c>
      <c r="K157" s="181">
        <v>375.70677186061801</v>
      </c>
      <c r="L157" s="420" t="s">
        <v>493</v>
      </c>
      <c r="M157" s="422" t="s">
        <v>726</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v>0</v>
      </c>
      <c r="AK157" s="323">
        <f t="shared" si="4"/>
        <v>0</v>
      </c>
      <c r="AL157" s="186"/>
      <c r="AM157" s="58">
        <v>41606</v>
      </c>
      <c r="AN157" s="52" t="s">
        <v>1890</v>
      </c>
      <c r="AO157" s="54">
        <v>41657</v>
      </c>
      <c r="AP157" s="50" t="s">
        <v>187</v>
      </c>
      <c r="AQ157" s="58">
        <v>41606</v>
      </c>
      <c r="AR157" s="52">
        <v>1</v>
      </c>
      <c r="AS157" s="52" t="s">
        <v>727</v>
      </c>
      <c r="AT157" s="323">
        <v>0</v>
      </c>
      <c r="AU157" s="52">
        <v>0</v>
      </c>
      <c r="AV157" s="52">
        <v>0</v>
      </c>
      <c r="AW157" s="52">
        <v>1</v>
      </c>
      <c r="AX157" s="423" t="s">
        <v>728</v>
      </c>
      <c r="AY157" s="70"/>
      <c r="AZ157" s="70"/>
      <c r="BA157" s="47">
        <v>0</v>
      </c>
      <c r="BB157" s="69">
        <v>1</v>
      </c>
      <c r="BC157" s="69"/>
      <c r="BD157" s="69">
        <v>0</v>
      </c>
      <c r="BE157" s="69">
        <v>1</v>
      </c>
      <c r="BF157" s="234">
        <v>1</v>
      </c>
      <c r="BG157" s="766">
        <v>1</v>
      </c>
      <c r="BH157" s="766" t="s">
        <v>2004</v>
      </c>
      <c r="BI157" s="223">
        <v>1</v>
      </c>
      <c r="BJ157" s="70"/>
      <c r="BK157" s="70">
        <v>1</v>
      </c>
      <c r="BL157" s="70" t="s">
        <v>1891</v>
      </c>
      <c r="BM157" s="70">
        <v>0</v>
      </c>
      <c r="BN157" s="70"/>
      <c r="BO157" s="70">
        <v>0</v>
      </c>
      <c r="BP157" s="70">
        <v>0</v>
      </c>
      <c r="BQ157" s="70">
        <v>0</v>
      </c>
      <c r="BR157" s="70">
        <v>0</v>
      </c>
      <c r="BS157" s="240">
        <v>0</v>
      </c>
      <c r="BT157" s="223">
        <v>0</v>
      </c>
      <c r="BU157" s="70"/>
      <c r="BV157" s="70">
        <v>0</v>
      </c>
      <c r="BW157" s="70">
        <v>0</v>
      </c>
      <c r="BX157" s="70">
        <v>0</v>
      </c>
      <c r="BY157" s="70"/>
      <c r="BZ157" s="70"/>
      <c r="CA157" s="70"/>
      <c r="CB157" s="77">
        <v>0</v>
      </c>
      <c r="CC157" s="77">
        <v>1</v>
      </c>
      <c r="CD157" s="77">
        <v>1</v>
      </c>
      <c r="CE157" s="77"/>
      <c r="CF157" s="77" t="s">
        <v>1892</v>
      </c>
      <c r="CG157" s="70" t="s">
        <v>1893</v>
      </c>
      <c r="CH157" s="70">
        <v>0</v>
      </c>
      <c r="CI157" s="70"/>
      <c r="CJ157" s="70">
        <v>0</v>
      </c>
      <c r="CK157" s="70">
        <v>0</v>
      </c>
      <c r="CL157" s="70">
        <v>0</v>
      </c>
      <c r="CM157" s="47">
        <v>139</v>
      </c>
      <c r="CN157" s="47">
        <v>118</v>
      </c>
      <c r="CP157" s="504">
        <v>28.6</v>
      </c>
      <c r="CQ157" s="504">
        <v>30.1</v>
      </c>
      <c r="CR157" s="418">
        <v>41606</v>
      </c>
      <c r="CS157" s="418">
        <v>41647</v>
      </c>
      <c r="CT157" s="78">
        <v>40</v>
      </c>
      <c r="CU157" s="79">
        <v>42773</v>
      </c>
      <c r="CV157" s="427">
        <v>0</v>
      </c>
      <c r="CW157" s="418"/>
      <c r="CX157" s="427">
        <v>0</v>
      </c>
      <c r="CY157" s="427">
        <v>0</v>
      </c>
      <c r="CZ157" s="427">
        <v>0</v>
      </c>
      <c r="DA157" s="418"/>
      <c r="DB157" s="427">
        <v>0</v>
      </c>
      <c r="DC157" s="418"/>
      <c r="DD157" s="427">
        <v>0</v>
      </c>
      <c r="DE157" s="418"/>
      <c r="DF157" s="427">
        <v>0</v>
      </c>
      <c r="DG157" s="418"/>
      <c r="DH157" s="418"/>
      <c r="DI157" s="70"/>
      <c r="DJ157" s="70">
        <v>0</v>
      </c>
      <c r="DK157" s="255"/>
      <c r="DL157" s="70"/>
      <c r="DM157" s="70"/>
      <c r="DN157" s="70"/>
      <c r="DO157" s="70"/>
      <c r="DP157" s="70"/>
      <c r="DQ157" s="70"/>
      <c r="DR157" s="70"/>
      <c r="DS157" s="70"/>
      <c r="DT157" s="70"/>
      <c r="DU157" s="70"/>
      <c r="DV157" s="70"/>
      <c r="DW157" s="70"/>
      <c r="DX157" s="70"/>
      <c r="DY157" s="70"/>
      <c r="DZ157" s="70"/>
      <c r="EA157" s="70"/>
      <c r="EB157" s="70"/>
      <c r="EC157" s="70"/>
      <c r="ED157" s="70"/>
      <c r="EE157" s="70"/>
      <c r="EF157" s="70"/>
      <c r="EG157" s="70"/>
      <c r="EH157" s="70"/>
      <c r="EI157" s="70"/>
    </row>
    <row r="158" spans="1:139" s="48" customFormat="1" ht="39.75" customHeight="1">
      <c r="A158" s="60">
        <v>304</v>
      </c>
      <c r="B158" s="122">
        <v>41554</v>
      </c>
      <c r="C158" s="62">
        <v>41554.291666666664</v>
      </c>
      <c r="D158" s="123">
        <v>31211975</v>
      </c>
      <c r="E158" s="124" t="s">
        <v>729</v>
      </c>
      <c r="F158" s="48" t="b">
        <v>0</v>
      </c>
      <c r="G158" s="48" t="s">
        <v>1558</v>
      </c>
      <c r="H158" s="124" t="s">
        <v>418</v>
      </c>
      <c r="I158" s="125" t="s">
        <v>730</v>
      </c>
      <c r="J158" s="110">
        <v>72.035616438356158</v>
      </c>
      <c r="K158" s="85">
        <v>864.33267587113733</v>
      </c>
      <c r="L158" s="124" t="s">
        <v>500</v>
      </c>
      <c r="M158" s="429" t="s">
        <v>731</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c r="AK158" s="324">
        <f t="shared" si="4"/>
        <v>1</v>
      </c>
      <c r="AL158" s="187"/>
      <c r="AM158" s="191"/>
      <c r="AN158" s="51"/>
      <c r="AO158" s="61"/>
      <c r="AP158" s="60"/>
      <c r="AQ158" s="191"/>
      <c r="AR158" s="51"/>
      <c r="AS158" s="51"/>
      <c r="AT158" s="324"/>
      <c r="AU158" s="51"/>
      <c r="AV158" s="51"/>
      <c r="AW158" s="51"/>
      <c r="AX158" s="127" t="s">
        <v>732</v>
      </c>
      <c r="AY158" s="71"/>
      <c r="AZ158" s="71">
        <v>1</v>
      </c>
      <c r="BB158" s="82"/>
      <c r="BC158" s="82" t="e">
        <v>#REF!</v>
      </c>
      <c r="BD158" s="82"/>
      <c r="BE158" s="82"/>
      <c r="BF158" s="235"/>
      <c r="BG158" s="767"/>
      <c r="BH158" s="767"/>
      <c r="BI158" s="224">
        <v>1</v>
      </c>
      <c r="BJ158" s="71"/>
      <c r="BK158" s="71"/>
      <c r="BL158" s="71"/>
      <c r="BM158" s="71"/>
      <c r="BN158" s="71"/>
      <c r="BO158" s="71"/>
      <c r="BP158" s="71"/>
      <c r="BQ158" s="71"/>
      <c r="BR158" s="71"/>
      <c r="BS158" s="241" t="s">
        <v>148</v>
      </c>
      <c r="BT158" s="224"/>
      <c r="BU158" s="71"/>
      <c r="BV158" s="71"/>
      <c r="BW158" s="71"/>
      <c r="BX158" s="71"/>
      <c r="BY158" s="71"/>
      <c r="BZ158" s="71"/>
      <c r="CA158" s="71" t="e">
        <v>#REF!</v>
      </c>
      <c r="CB158" s="86"/>
      <c r="CC158" s="86"/>
      <c r="CD158" s="86"/>
      <c r="CE158" s="86"/>
      <c r="CF158" s="86"/>
      <c r="CG158" s="71"/>
      <c r="CH158" s="71"/>
      <c r="CI158" s="71"/>
      <c r="CJ158" s="71">
        <v>0</v>
      </c>
      <c r="CK158" s="71">
        <v>0</v>
      </c>
      <c r="CL158" s="71">
        <v>0</v>
      </c>
      <c r="CM158" s="48">
        <v>75</v>
      </c>
      <c r="CN158" s="48">
        <v>51</v>
      </c>
      <c r="CP158" s="505">
        <v>30.5</v>
      </c>
      <c r="CQ158" s="505">
        <v>32</v>
      </c>
      <c r="CR158" s="122">
        <v>41546</v>
      </c>
      <c r="CS158" s="122">
        <v>41560</v>
      </c>
      <c r="CT158" s="83">
        <v>6</v>
      </c>
      <c r="CU158" s="84"/>
      <c r="CV158" s="128"/>
      <c r="CW158" s="122"/>
      <c r="CX158" s="128"/>
      <c r="CY158" s="128"/>
      <c r="CZ158" s="128"/>
      <c r="DA158" s="122"/>
      <c r="DB158" s="128"/>
      <c r="DC158" s="122"/>
      <c r="DD158" s="128"/>
      <c r="DE158" s="122"/>
      <c r="DF158" s="128"/>
      <c r="DG158" s="122"/>
      <c r="DH158" s="87" t="s">
        <v>220</v>
      </c>
      <c r="DI158" s="71"/>
      <c r="DJ158" s="71">
        <v>0</v>
      </c>
      <c r="DK158" s="110"/>
      <c r="DL158" s="71"/>
      <c r="DM158" s="71"/>
      <c r="DN158" s="71"/>
      <c r="DO158" s="71"/>
      <c r="DP158" s="71"/>
      <c r="DQ158" s="71"/>
      <c r="DR158" s="71"/>
      <c r="DS158" s="71"/>
      <c r="DT158" s="71"/>
      <c r="DU158" s="71"/>
      <c r="DV158" s="71"/>
      <c r="DW158" s="71"/>
      <c r="DX158" s="71"/>
      <c r="DY158" s="71"/>
      <c r="DZ158" s="71"/>
      <c r="EA158" s="71"/>
      <c r="EB158" s="71"/>
      <c r="EC158" s="71"/>
      <c r="ED158" s="71"/>
      <c r="EE158" s="71"/>
      <c r="EF158" s="71"/>
      <c r="EG158" s="71"/>
      <c r="EH158" s="71"/>
      <c r="EI158" s="71"/>
    </row>
    <row r="159" spans="1:139" s="47" customFormat="1" ht="39.75" customHeight="1">
      <c r="A159" s="50">
        <v>305</v>
      </c>
      <c r="B159" s="418">
        <v>41549</v>
      </c>
      <c r="C159" s="55">
        <v>41549.489583333336</v>
      </c>
      <c r="D159" s="419">
        <v>31363016</v>
      </c>
      <c r="E159" s="420" t="s">
        <v>733</v>
      </c>
      <c r="F159" s="47" t="b">
        <v>1</v>
      </c>
      <c r="H159" s="420" t="s">
        <v>418</v>
      </c>
      <c r="I159" s="421" t="s">
        <v>734</v>
      </c>
      <c r="J159" s="255">
        <v>68.117808219178087</v>
      </c>
      <c r="K159" s="181">
        <v>817.32412886259033</v>
      </c>
      <c r="L159" s="420" t="s">
        <v>442</v>
      </c>
      <c r="M159" s="422" t="s">
        <v>735</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425">
        <v>0</v>
      </c>
      <c r="AK159" s="323">
        <f t="shared" si="4"/>
        <v>0</v>
      </c>
      <c r="AL159" s="422"/>
      <c r="AM159" s="426">
        <v>41549</v>
      </c>
      <c r="AN159" s="423" t="s">
        <v>1894</v>
      </c>
      <c r="AO159" s="54">
        <v>41563</v>
      </c>
      <c r="AP159" s="420" t="s">
        <v>1895</v>
      </c>
      <c r="AQ159" s="426">
        <v>41523</v>
      </c>
      <c r="AR159" s="423">
        <v>0</v>
      </c>
      <c r="AS159" s="423"/>
      <c r="AT159" s="425">
        <v>0</v>
      </c>
      <c r="AU159" s="423">
        <v>1</v>
      </c>
      <c r="AV159" s="423">
        <v>0</v>
      </c>
      <c r="AW159" s="423">
        <v>0</v>
      </c>
      <c r="AX159" s="423" t="s">
        <v>737</v>
      </c>
      <c r="AY159" s="70"/>
      <c r="AZ159" s="70" t="s">
        <v>1882</v>
      </c>
      <c r="BA159" s="47">
        <v>0</v>
      </c>
      <c r="BB159" s="69">
        <v>1</v>
      </c>
      <c r="BC159" s="69"/>
      <c r="BD159" s="69">
        <v>0</v>
      </c>
      <c r="BE159" s="69">
        <v>0</v>
      </c>
      <c r="BF159" s="234">
        <v>0</v>
      </c>
      <c r="BG159" s="766">
        <v>0</v>
      </c>
      <c r="BH159" s="766"/>
      <c r="BI159" s="223">
        <v>0</v>
      </c>
      <c r="BJ159" s="70"/>
      <c r="BK159" s="70">
        <v>0</v>
      </c>
      <c r="BL159" s="70"/>
      <c r="BM159" s="70">
        <v>0</v>
      </c>
      <c r="BN159" s="70"/>
      <c r="BO159" s="70">
        <v>0</v>
      </c>
      <c r="BP159" s="70">
        <v>0</v>
      </c>
      <c r="BQ159" s="70">
        <v>0</v>
      </c>
      <c r="BR159" s="70">
        <v>0</v>
      </c>
      <c r="BS159" s="240">
        <v>0</v>
      </c>
      <c r="BT159" s="223">
        <v>1</v>
      </c>
      <c r="BU159" s="70" t="s">
        <v>1896</v>
      </c>
      <c r="BV159" s="70">
        <v>0</v>
      </c>
      <c r="BW159" s="70">
        <v>0</v>
      </c>
      <c r="BX159" s="70">
        <v>0</v>
      </c>
      <c r="BY159" s="70"/>
      <c r="BZ159" s="70"/>
      <c r="CA159" s="70"/>
      <c r="CB159" s="70">
        <v>0</v>
      </c>
      <c r="CC159" s="70">
        <v>1</v>
      </c>
      <c r="CD159" s="70">
        <v>0</v>
      </c>
      <c r="CE159" s="70"/>
      <c r="CF159" s="70" t="s">
        <v>1897</v>
      </c>
      <c r="CG159" s="70" t="s">
        <v>1898</v>
      </c>
      <c r="CH159" s="70">
        <v>1</v>
      </c>
      <c r="CI159" s="70" t="s">
        <v>1889</v>
      </c>
      <c r="CJ159" s="70">
        <v>0</v>
      </c>
      <c r="CK159" s="70">
        <v>0</v>
      </c>
      <c r="CL159" s="70">
        <v>0</v>
      </c>
      <c r="CM159" s="47">
        <v>157</v>
      </c>
      <c r="CN159" s="47">
        <v>141</v>
      </c>
      <c r="CP159" s="504">
        <v>29.4</v>
      </c>
      <c r="CQ159" s="504">
        <v>29.8</v>
      </c>
      <c r="CR159" s="418">
        <v>41547</v>
      </c>
      <c r="CS159" s="418">
        <v>41559</v>
      </c>
      <c r="CT159" s="78">
        <v>10</v>
      </c>
      <c r="CU159" s="79">
        <v>41743</v>
      </c>
      <c r="CV159" s="427">
        <v>0</v>
      </c>
      <c r="CW159" s="418"/>
      <c r="CX159" s="427">
        <v>0</v>
      </c>
      <c r="CY159" s="427">
        <v>0</v>
      </c>
      <c r="CZ159" s="427">
        <v>0</v>
      </c>
      <c r="DA159" s="418"/>
      <c r="DB159" s="427">
        <v>0</v>
      </c>
      <c r="DC159" s="418"/>
      <c r="DD159" s="427">
        <v>0</v>
      </c>
      <c r="DE159" s="418"/>
      <c r="DF159" s="427">
        <v>0</v>
      </c>
      <c r="DG159" s="418"/>
      <c r="DH159" s="418"/>
      <c r="DI159" s="70"/>
      <c r="DJ159" s="70">
        <v>0</v>
      </c>
      <c r="DK159" s="430">
        <v>47.238658777120314</v>
      </c>
      <c r="DL159" s="70"/>
      <c r="DM159" s="70"/>
      <c r="DN159" s="79">
        <v>42986</v>
      </c>
      <c r="DO159" s="70"/>
      <c r="DP159" s="70"/>
      <c r="DQ159" s="70"/>
      <c r="DR159" s="70"/>
      <c r="DS159" s="70"/>
      <c r="DT159" s="70"/>
      <c r="DU159" s="70"/>
      <c r="DV159" s="70"/>
      <c r="DW159" s="70"/>
      <c r="DX159" s="70"/>
      <c r="DY159" s="70"/>
      <c r="DZ159" s="70"/>
      <c r="EA159" s="70"/>
      <c r="EB159" s="70"/>
      <c r="EC159" s="70"/>
      <c r="ED159" s="70"/>
      <c r="EE159" s="70"/>
      <c r="EF159" s="70"/>
      <c r="EG159" s="70"/>
      <c r="EH159" s="70"/>
      <c r="EI159" s="70"/>
    </row>
    <row r="160" spans="1:139" s="47" customFormat="1" ht="39.75" customHeight="1">
      <c r="A160" s="50">
        <v>307</v>
      </c>
      <c r="B160" s="418">
        <v>41530</v>
      </c>
      <c r="C160" s="55">
        <v>41530.555555555555</v>
      </c>
      <c r="D160" s="419">
        <v>31345160</v>
      </c>
      <c r="E160" s="420" t="s">
        <v>738</v>
      </c>
      <c r="F160" s="47" t="b">
        <v>1</v>
      </c>
      <c r="H160" s="420" t="s">
        <v>418</v>
      </c>
      <c r="I160" s="421" t="s">
        <v>739</v>
      </c>
      <c r="J160" s="255">
        <v>44.271232876712325</v>
      </c>
      <c r="K160" s="181">
        <v>531.19658119658118</v>
      </c>
      <c r="L160" s="420" t="s">
        <v>500</v>
      </c>
      <c r="M160" s="422" t="s">
        <v>740</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v>0</v>
      </c>
      <c r="AK160" s="323">
        <f t="shared" si="4"/>
        <v>0</v>
      </c>
      <c r="AL160" s="186" t="s">
        <v>741</v>
      </c>
      <c r="AM160" s="58">
        <v>41529</v>
      </c>
      <c r="AN160" s="52" t="s">
        <v>1890</v>
      </c>
      <c r="AO160" s="54">
        <v>41563</v>
      </c>
      <c r="AP160" s="50" t="s">
        <v>152</v>
      </c>
      <c r="AQ160" s="58">
        <v>41527</v>
      </c>
      <c r="AR160" s="52">
        <v>1</v>
      </c>
      <c r="AS160" s="52" t="s">
        <v>742</v>
      </c>
      <c r="AT160" s="323">
        <v>0</v>
      </c>
      <c r="AU160" s="52">
        <v>0</v>
      </c>
      <c r="AV160" s="52">
        <v>0</v>
      </c>
      <c r="AW160" s="52">
        <v>1</v>
      </c>
      <c r="AX160" s="423" t="s">
        <v>743</v>
      </c>
      <c r="AY160" s="70"/>
      <c r="AZ160" s="70" t="s">
        <v>1897</v>
      </c>
      <c r="BA160" s="47">
        <v>0</v>
      </c>
      <c r="BB160" s="69">
        <v>1</v>
      </c>
      <c r="BC160" s="69">
        <v>25</v>
      </c>
      <c r="BD160" s="69">
        <v>1</v>
      </c>
      <c r="BE160" s="69">
        <v>0</v>
      </c>
      <c r="BF160" s="234">
        <v>0</v>
      </c>
      <c r="BG160" s="766">
        <v>0</v>
      </c>
      <c r="BH160" s="766"/>
      <c r="BI160" s="223">
        <v>1</v>
      </c>
      <c r="BJ160" s="70"/>
      <c r="BK160" s="70">
        <v>0</v>
      </c>
      <c r="BL160" s="70"/>
      <c r="BM160" s="80">
        <v>1</v>
      </c>
      <c r="BN160" s="80" t="s">
        <v>1899</v>
      </c>
      <c r="BO160" s="80">
        <v>1</v>
      </c>
      <c r="BP160" s="80">
        <v>0</v>
      </c>
      <c r="BQ160" s="80">
        <v>1</v>
      </c>
      <c r="BR160" s="80">
        <v>0</v>
      </c>
      <c r="BS160" s="240">
        <v>0</v>
      </c>
      <c r="BT160" s="223">
        <v>0</v>
      </c>
      <c r="BU160" s="70"/>
      <c r="BV160" s="70">
        <v>0</v>
      </c>
      <c r="BW160" s="70">
        <v>0</v>
      </c>
      <c r="BX160" s="70">
        <v>0</v>
      </c>
      <c r="BY160" s="70"/>
      <c r="BZ160" s="70"/>
      <c r="CA160" s="70"/>
      <c r="CB160" s="77">
        <v>0</v>
      </c>
      <c r="CC160" s="77">
        <v>0</v>
      </c>
      <c r="CD160" s="77">
        <v>0</v>
      </c>
      <c r="CE160" s="77"/>
      <c r="CF160" s="77"/>
      <c r="CG160" s="70"/>
      <c r="CH160" s="70">
        <v>0</v>
      </c>
      <c r="CI160" s="70"/>
      <c r="CJ160" s="70">
        <v>0</v>
      </c>
      <c r="CK160" s="70">
        <v>0</v>
      </c>
      <c r="CL160" s="70">
        <v>0</v>
      </c>
      <c r="CM160" s="47">
        <v>87</v>
      </c>
      <c r="CN160" s="47">
        <v>64</v>
      </c>
      <c r="CP160" s="504">
        <v>30.5</v>
      </c>
      <c r="CQ160" s="504">
        <v>31.5</v>
      </c>
      <c r="CR160" s="418">
        <v>41527</v>
      </c>
      <c r="CS160" s="418">
        <v>41563</v>
      </c>
      <c r="CT160" s="78">
        <v>33</v>
      </c>
      <c r="CU160" s="79">
        <v>44266</v>
      </c>
      <c r="CV160" s="427">
        <v>0</v>
      </c>
      <c r="CW160" s="418"/>
      <c r="CX160" s="427">
        <v>0</v>
      </c>
      <c r="CY160" s="427">
        <v>0</v>
      </c>
      <c r="CZ160" s="427">
        <v>0</v>
      </c>
      <c r="DA160" s="418"/>
      <c r="DB160" s="427">
        <v>0</v>
      </c>
      <c r="DC160" s="418"/>
      <c r="DD160" s="427">
        <v>0</v>
      </c>
      <c r="DE160" s="418"/>
      <c r="DF160" s="427">
        <v>0</v>
      </c>
      <c r="DG160" s="418"/>
      <c r="DH160" s="418"/>
      <c r="DI160" s="70"/>
      <c r="DJ160" s="70">
        <v>0</v>
      </c>
      <c r="DK160" s="255"/>
      <c r="DL160" s="70"/>
      <c r="DM160" s="70"/>
      <c r="DN160" s="70"/>
      <c r="DO160" s="70"/>
      <c r="DP160" s="70"/>
      <c r="DQ160" s="70"/>
      <c r="DR160" s="70"/>
      <c r="DS160" s="70"/>
      <c r="DT160" s="70"/>
      <c r="DU160" s="70"/>
      <c r="DV160" s="70"/>
      <c r="DW160" s="70"/>
      <c r="DX160" s="70"/>
      <c r="DY160" s="70"/>
      <c r="DZ160" s="70"/>
      <c r="EA160" s="70"/>
      <c r="EB160" s="70"/>
      <c r="EC160" s="70"/>
      <c r="ED160" s="70"/>
      <c r="EE160" s="70"/>
      <c r="EF160" s="70"/>
      <c r="EG160" s="70"/>
      <c r="EH160" s="70"/>
      <c r="EI160" s="70"/>
    </row>
    <row r="161" spans="1:139" s="47" customFormat="1" ht="39.75" customHeight="1">
      <c r="A161" s="50">
        <v>308</v>
      </c>
      <c r="B161" s="418">
        <v>41486</v>
      </c>
      <c r="C161" s="55">
        <v>41486.318055555559</v>
      </c>
      <c r="D161" s="419">
        <v>31130423</v>
      </c>
      <c r="E161" s="420" t="s">
        <v>744</v>
      </c>
      <c r="F161" s="47" t="b">
        <v>1</v>
      </c>
      <c r="H161" s="420" t="s">
        <v>441</v>
      </c>
      <c r="I161" s="421" t="s">
        <v>745</v>
      </c>
      <c r="J161" s="255">
        <v>23.849315068493151</v>
      </c>
      <c r="K161" s="181">
        <v>286.16042077580539</v>
      </c>
      <c r="L161" s="420" t="s">
        <v>493</v>
      </c>
      <c r="M161" s="422" t="s">
        <v>746</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v>0</v>
      </c>
      <c r="AK161" s="323">
        <f t="shared" si="4"/>
        <v>0</v>
      </c>
      <c r="AL161" s="186"/>
      <c r="AM161" s="58">
        <v>41484</v>
      </c>
      <c r="AN161" s="52" t="s">
        <v>1733</v>
      </c>
      <c r="AO161" s="54">
        <v>41514</v>
      </c>
      <c r="AP161" s="50" t="s">
        <v>187</v>
      </c>
      <c r="AQ161" s="58">
        <v>41482</v>
      </c>
      <c r="AR161" s="52">
        <v>0</v>
      </c>
      <c r="AS161" s="52"/>
      <c r="AT161" s="323">
        <v>0</v>
      </c>
      <c r="AU161" s="52">
        <v>0</v>
      </c>
      <c r="AV161" s="52">
        <v>0</v>
      </c>
      <c r="AW161" s="52">
        <v>1</v>
      </c>
      <c r="AX161" s="423" t="s">
        <v>747</v>
      </c>
      <c r="AY161" s="70"/>
      <c r="AZ161" s="70" t="s">
        <v>1537</v>
      </c>
      <c r="BA161" s="47">
        <v>0</v>
      </c>
      <c r="BB161" s="69">
        <v>1</v>
      </c>
      <c r="BC161" s="69">
        <v>15</v>
      </c>
      <c r="BD161" s="69">
        <v>0</v>
      </c>
      <c r="BE161" s="69">
        <v>0</v>
      </c>
      <c r="BF161" s="234">
        <v>0</v>
      </c>
      <c r="BG161" s="766">
        <v>1</v>
      </c>
      <c r="BH161" s="766" t="s">
        <v>2004</v>
      </c>
      <c r="BI161" s="223">
        <v>1</v>
      </c>
      <c r="BJ161" s="70"/>
      <c r="BK161" s="70">
        <v>1</v>
      </c>
      <c r="BL161" s="70" t="s">
        <v>1891</v>
      </c>
      <c r="BM161" s="80">
        <v>1</v>
      </c>
      <c r="BN161" s="80" t="s">
        <v>1900</v>
      </c>
      <c r="BO161" s="80">
        <v>0</v>
      </c>
      <c r="BP161" s="80">
        <v>0</v>
      </c>
      <c r="BQ161" s="80">
        <v>1</v>
      </c>
      <c r="BR161" s="80">
        <v>1</v>
      </c>
      <c r="BS161" s="240">
        <v>0</v>
      </c>
      <c r="BT161" s="223">
        <v>0</v>
      </c>
      <c r="BU161" s="70"/>
      <c r="BV161" s="70">
        <v>0</v>
      </c>
      <c r="BW161" s="70">
        <v>0</v>
      </c>
      <c r="BX161" s="70">
        <v>0</v>
      </c>
      <c r="BY161" s="70"/>
      <c r="BZ161" s="70"/>
      <c r="CA161" s="70"/>
      <c r="CB161" s="77">
        <v>0</v>
      </c>
      <c r="CC161" s="77">
        <v>0</v>
      </c>
      <c r="CD161" s="77">
        <v>0</v>
      </c>
      <c r="CE161" s="77"/>
      <c r="CF161" s="77"/>
      <c r="CG161" s="70"/>
      <c r="CH161" s="70">
        <v>0</v>
      </c>
      <c r="CI161" s="70"/>
      <c r="CJ161" s="70">
        <v>0</v>
      </c>
      <c r="CK161" s="70">
        <v>0</v>
      </c>
      <c r="CL161" s="70">
        <v>0</v>
      </c>
      <c r="CM161" s="47">
        <v>104</v>
      </c>
      <c r="CN161" s="47">
        <v>89</v>
      </c>
      <c r="CP161" s="504">
        <v>28</v>
      </c>
      <c r="CQ161" s="504">
        <v>30.2</v>
      </c>
      <c r="CR161" s="418">
        <v>41484</v>
      </c>
      <c r="CS161" s="418">
        <v>41514</v>
      </c>
      <c r="CT161" s="78">
        <v>28</v>
      </c>
      <c r="CU161" s="79">
        <v>42416</v>
      </c>
      <c r="CV161" s="427">
        <v>0</v>
      </c>
      <c r="CW161" s="418"/>
      <c r="CX161" s="427">
        <v>0</v>
      </c>
      <c r="CY161" s="427">
        <v>0</v>
      </c>
      <c r="CZ161" s="427">
        <v>0</v>
      </c>
      <c r="DA161" s="418"/>
      <c r="DB161" s="427">
        <v>0</v>
      </c>
      <c r="DC161" s="418"/>
      <c r="DD161" s="427">
        <v>0</v>
      </c>
      <c r="DE161" s="418"/>
      <c r="DF161" s="427">
        <v>0</v>
      </c>
      <c r="DG161" s="418"/>
      <c r="DH161" s="418"/>
      <c r="DI161" s="70"/>
      <c r="DJ161" s="70">
        <v>0</v>
      </c>
      <c r="DK161" s="255"/>
      <c r="DL161" s="70"/>
      <c r="DM161" s="70"/>
      <c r="DN161" s="70"/>
      <c r="DO161" s="70"/>
      <c r="DP161" s="70"/>
      <c r="DQ161" s="70"/>
      <c r="DR161" s="70"/>
      <c r="DS161" s="70"/>
      <c r="DT161" s="70"/>
      <c r="DU161" s="70"/>
      <c r="DV161" s="70"/>
      <c r="DW161" s="70"/>
      <c r="DX161" s="70"/>
      <c r="DY161" s="70"/>
      <c r="DZ161" s="70"/>
      <c r="EA161" s="70"/>
      <c r="EB161" s="70"/>
      <c r="EC161" s="70"/>
      <c r="ED161" s="70"/>
      <c r="EE161" s="70"/>
      <c r="EF161" s="70"/>
      <c r="EG161" s="70"/>
      <c r="EH161" s="70"/>
      <c r="EI161" s="70"/>
    </row>
    <row r="162" spans="1:139" s="47" customFormat="1" ht="39.75" customHeight="1">
      <c r="A162" s="50">
        <v>311</v>
      </c>
      <c r="B162" s="418">
        <v>41459</v>
      </c>
      <c r="C162" s="55">
        <v>41459.291666666664</v>
      </c>
      <c r="D162" s="419">
        <v>30962823</v>
      </c>
      <c r="E162" s="420" t="s">
        <v>635</v>
      </c>
      <c r="F162" s="47" t="b">
        <v>1</v>
      </c>
      <c r="H162" s="420" t="s">
        <v>418</v>
      </c>
      <c r="I162" s="421" t="s">
        <v>636</v>
      </c>
      <c r="J162" s="255">
        <v>21.82191780821918</v>
      </c>
      <c r="K162" s="181">
        <v>261.83431952662721</v>
      </c>
      <c r="L162" s="420" t="s">
        <v>493</v>
      </c>
      <c r="M162" s="422" t="s">
        <v>748</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v>0</v>
      </c>
      <c r="AK162" s="323">
        <f t="shared" si="4"/>
        <v>0</v>
      </c>
      <c r="AL162" s="186"/>
      <c r="AM162" s="58">
        <v>41456</v>
      </c>
      <c r="AN162" s="52" t="s">
        <v>1710</v>
      </c>
      <c r="AO162" s="54">
        <v>41471</v>
      </c>
      <c r="AP162" s="50" t="s">
        <v>223</v>
      </c>
      <c r="AQ162" s="58"/>
      <c r="AR162" s="52">
        <v>1</v>
      </c>
      <c r="AS162" s="52" t="s">
        <v>749</v>
      </c>
      <c r="AT162" s="323">
        <v>0</v>
      </c>
      <c r="AU162" s="52">
        <v>1</v>
      </c>
      <c r="AV162" s="52">
        <v>0</v>
      </c>
      <c r="AW162" s="52">
        <v>1</v>
      </c>
      <c r="AX162" s="420" t="s">
        <v>750</v>
      </c>
      <c r="AY162" s="70"/>
      <c r="AZ162" s="70" t="s">
        <v>1901</v>
      </c>
      <c r="BA162" s="47">
        <v>0</v>
      </c>
      <c r="BB162" s="69">
        <v>1</v>
      </c>
      <c r="BC162" s="69">
        <v>4</v>
      </c>
      <c r="BD162" s="69">
        <v>0</v>
      </c>
      <c r="BE162" s="69">
        <v>0</v>
      </c>
      <c r="BF162" s="234">
        <v>1</v>
      </c>
      <c r="BG162" s="766">
        <v>0</v>
      </c>
      <c r="BH162" s="766"/>
      <c r="BI162" s="223">
        <v>1</v>
      </c>
      <c r="BJ162" s="70"/>
      <c r="BK162" s="70">
        <v>0</v>
      </c>
      <c r="BL162" s="70"/>
      <c r="BM162" s="70">
        <v>1</v>
      </c>
      <c r="BN162" s="70" t="s">
        <v>1902</v>
      </c>
      <c r="BO162" s="70">
        <v>0</v>
      </c>
      <c r="BP162" s="70">
        <v>0</v>
      </c>
      <c r="BQ162" s="70">
        <v>1</v>
      </c>
      <c r="BR162" s="70">
        <v>0</v>
      </c>
      <c r="BS162" s="240">
        <v>0</v>
      </c>
      <c r="BT162" s="223">
        <v>0</v>
      </c>
      <c r="BU162" s="70"/>
      <c r="BV162" s="70">
        <v>0</v>
      </c>
      <c r="BW162" s="70">
        <v>0</v>
      </c>
      <c r="BX162" s="70">
        <v>0</v>
      </c>
      <c r="BY162" s="70"/>
      <c r="BZ162" s="70"/>
      <c r="CA162" s="70"/>
      <c r="CB162" s="77">
        <v>0</v>
      </c>
      <c r="CC162" s="77">
        <v>0</v>
      </c>
      <c r="CD162" s="77">
        <v>0</v>
      </c>
      <c r="CE162" s="77"/>
      <c r="CF162" s="77"/>
      <c r="CG162" s="70"/>
      <c r="CH162" s="70">
        <v>0</v>
      </c>
      <c r="CI162" s="70"/>
      <c r="CJ162" s="70">
        <v>0</v>
      </c>
      <c r="CK162" s="70">
        <v>0</v>
      </c>
      <c r="CL162" s="70">
        <v>0</v>
      </c>
      <c r="CM162" s="47">
        <v>43</v>
      </c>
      <c r="CN162" s="47">
        <v>34</v>
      </c>
      <c r="CP162" s="504">
        <v>31</v>
      </c>
      <c r="CQ162" s="504">
        <v>29.8</v>
      </c>
      <c r="CR162" s="418">
        <v>41453</v>
      </c>
      <c r="CS162" s="418">
        <v>41471</v>
      </c>
      <c r="CT162" s="78">
        <v>12</v>
      </c>
      <c r="CU162" s="79">
        <v>44180</v>
      </c>
      <c r="CV162" s="427">
        <v>0</v>
      </c>
      <c r="CW162" s="418"/>
      <c r="CX162" s="427">
        <v>0</v>
      </c>
      <c r="CY162" s="427">
        <v>0</v>
      </c>
      <c r="CZ162" s="427">
        <v>0</v>
      </c>
      <c r="DA162" s="418"/>
      <c r="DB162" s="427">
        <v>0</v>
      </c>
      <c r="DC162" s="418"/>
      <c r="DD162" s="427">
        <v>0</v>
      </c>
      <c r="DE162" s="418"/>
      <c r="DF162" s="427">
        <v>0</v>
      </c>
      <c r="DG162" s="418"/>
      <c r="DH162" s="418"/>
      <c r="DI162" s="70"/>
      <c r="DJ162" s="70">
        <v>0</v>
      </c>
      <c r="DK162" s="255"/>
      <c r="DL162" s="70"/>
      <c r="DM162" s="70"/>
      <c r="DN162" s="70"/>
      <c r="DO162" s="70"/>
      <c r="DP162" s="70"/>
      <c r="DQ162" s="70"/>
      <c r="DR162" s="70"/>
      <c r="DS162" s="70"/>
      <c r="DT162" s="70"/>
      <c r="DU162" s="70"/>
      <c r="DV162" s="70"/>
      <c r="DW162" s="70"/>
      <c r="DX162" s="70"/>
      <c r="DY162" s="70"/>
      <c r="DZ162" s="70"/>
      <c r="EA162" s="70"/>
      <c r="EB162" s="70"/>
      <c r="EC162" s="70"/>
      <c r="ED162" s="70"/>
      <c r="EE162" s="70"/>
      <c r="EF162" s="70"/>
      <c r="EG162" s="70"/>
      <c r="EH162" s="70"/>
      <c r="EI162" s="70"/>
    </row>
    <row r="163" spans="1:139" s="47" customFormat="1" ht="39.75" customHeight="1">
      <c r="A163" s="50">
        <v>312</v>
      </c>
      <c r="B163" s="418">
        <v>41456</v>
      </c>
      <c r="C163" s="55">
        <v>41456.54583333333</v>
      </c>
      <c r="D163" s="419">
        <v>29919429</v>
      </c>
      <c r="E163" s="420" t="s">
        <v>751</v>
      </c>
      <c r="F163" s="47" t="b">
        <v>1</v>
      </c>
      <c r="H163" s="420" t="s">
        <v>418</v>
      </c>
      <c r="I163" s="421" t="s">
        <v>752</v>
      </c>
      <c r="J163" s="255">
        <v>28.276712328767122</v>
      </c>
      <c r="K163" s="181">
        <v>339.28336620644313</v>
      </c>
      <c r="L163" s="420" t="s">
        <v>500</v>
      </c>
      <c r="M163" s="422" t="s">
        <v>753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v>0</v>
      </c>
      <c r="AK163" s="323">
        <f t="shared" si="4"/>
        <v>0</v>
      </c>
      <c r="AL163" s="186"/>
      <c r="AM163" s="58">
        <v>41438</v>
      </c>
      <c r="AN163" s="52" t="s">
        <v>1903</v>
      </c>
      <c r="AO163" s="54">
        <v>41473</v>
      </c>
      <c r="AP163" s="50" t="s">
        <v>754</v>
      </c>
      <c r="AQ163" s="58">
        <v>41380</v>
      </c>
      <c r="AR163" s="52">
        <v>1</v>
      </c>
      <c r="AS163" s="52" t="s">
        <v>755</v>
      </c>
      <c r="AT163" s="323">
        <v>0</v>
      </c>
      <c r="AU163" s="52">
        <v>1</v>
      </c>
      <c r="AV163" s="52">
        <v>0</v>
      </c>
      <c r="AW163" s="52">
        <v>0</v>
      </c>
      <c r="AX163" s="423" t="s">
        <v>756</v>
      </c>
      <c r="AY163" s="70"/>
      <c r="AZ163" s="70" t="s">
        <v>1901</v>
      </c>
      <c r="BA163" s="47">
        <v>0</v>
      </c>
      <c r="BB163" s="69">
        <v>1</v>
      </c>
      <c r="BC163" s="69"/>
      <c r="BD163" s="69">
        <v>0</v>
      </c>
      <c r="BE163" s="69">
        <v>0</v>
      </c>
      <c r="BF163" s="234">
        <v>1</v>
      </c>
      <c r="BG163" s="766">
        <v>0</v>
      </c>
      <c r="BH163" s="766"/>
      <c r="BI163" s="223">
        <v>1</v>
      </c>
      <c r="BJ163" s="70"/>
      <c r="BK163" s="70">
        <v>1</v>
      </c>
      <c r="BL163" s="70" t="s">
        <v>1904</v>
      </c>
      <c r="BM163" s="70">
        <v>1</v>
      </c>
      <c r="BN163" s="70" t="s">
        <v>1905</v>
      </c>
      <c r="BO163" s="70">
        <v>0</v>
      </c>
      <c r="BP163" s="70">
        <v>0</v>
      </c>
      <c r="BQ163" s="70">
        <v>1</v>
      </c>
      <c r="BR163" s="70">
        <v>0</v>
      </c>
      <c r="BS163" s="240">
        <v>0</v>
      </c>
      <c r="BT163" s="223">
        <v>0</v>
      </c>
      <c r="BU163" s="70"/>
      <c r="BV163" s="70">
        <v>0</v>
      </c>
      <c r="BW163" s="70">
        <v>0</v>
      </c>
      <c r="BX163" s="70">
        <v>0</v>
      </c>
      <c r="BY163" s="70"/>
      <c r="BZ163" s="70"/>
      <c r="CA163" s="70"/>
      <c r="CB163" s="77">
        <v>0</v>
      </c>
      <c r="CC163" s="77">
        <v>0</v>
      </c>
      <c r="CD163" s="77">
        <v>0</v>
      </c>
      <c r="CE163" s="77"/>
      <c r="CF163" s="77"/>
      <c r="CG163" s="70"/>
      <c r="CH163" s="70">
        <v>0</v>
      </c>
      <c r="CI163" s="70"/>
      <c r="CJ163" s="70">
        <v>0</v>
      </c>
      <c r="CK163" s="70">
        <v>0</v>
      </c>
      <c r="CL163" s="70">
        <v>0</v>
      </c>
      <c r="CM163" s="47">
        <v>75</v>
      </c>
      <c r="CN163" s="47">
        <v>52</v>
      </c>
      <c r="CP163" s="504">
        <v>31</v>
      </c>
      <c r="CQ163" s="504">
        <v>32</v>
      </c>
      <c r="CR163" s="418">
        <v>41435</v>
      </c>
      <c r="CS163" s="418">
        <v>41485</v>
      </c>
      <c r="CT163" s="78">
        <v>29</v>
      </c>
      <c r="CU163" s="79">
        <v>43546</v>
      </c>
      <c r="CV163" s="427">
        <v>0</v>
      </c>
      <c r="CW163" s="418"/>
      <c r="CX163" s="427">
        <v>0</v>
      </c>
      <c r="CY163" s="427">
        <v>0</v>
      </c>
      <c r="CZ163" s="427">
        <v>0</v>
      </c>
      <c r="DA163" s="418"/>
      <c r="DB163" s="427">
        <v>0</v>
      </c>
      <c r="DC163" s="418"/>
      <c r="DD163" s="427">
        <v>0</v>
      </c>
      <c r="DE163" s="418"/>
      <c r="DF163" s="427">
        <v>0</v>
      </c>
      <c r="DG163" s="418"/>
      <c r="DH163" s="418"/>
      <c r="DI163" s="70"/>
      <c r="DJ163" s="70">
        <v>0</v>
      </c>
      <c r="DK163" s="255"/>
      <c r="DL163" s="70"/>
      <c r="DM163" s="70"/>
      <c r="DN163" s="70"/>
      <c r="DO163" s="70"/>
      <c r="DP163" s="70"/>
      <c r="DQ163" s="70"/>
      <c r="DR163" s="70"/>
      <c r="DS163" s="70"/>
      <c r="DT163" s="70"/>
      <c r="DU163" s="70"/>
      <c r="DV163" s="70"/>
      <c r="DW163" s="70"/>
      <c r="DX163" s="70"/>
      <c r="DY163" s="70"/>
      <c r="DZ163" s="70"/>
      <c r="EA163" s="70"/>
      <c r="EB163" s="70"/>
      <c r="EC163" s="70"/>
      <c r="ED163" s="70"/>
      <c r="EE163" s="70"/>
      <c r="EF163" s="70"/>
      <c r="EG163" s="70"/>
      <c r="EH163" s="70"/>
      <c r="EI163" s="70"/>
    </row>
    <row r="164" spans="1:139" s="47" customFormat="1" ht="39.75" customHeight="1">
      <c r="A164" s="50">
        <v>313</v>
      </c>
      <c r="B164" s="418">
        <v>41456</v>
      </c>
      <c r="C164" s="55">
        <v>41456.684027777781</v>
      </c>
      <c r="D164" s="419">
        <v>30956167</v>
      </c>
      <c r="E164" s="420" t="s">
        <v>757</v>
      </c>
      <c r="F164" s="47" t="b">
        <v>1</v>
      </c>
      <c r="H164" s="420" t="s">
        <v>418</v>
      </c>
      <c r="I164" s="421" t="s">
        <v>758</v>
      </c>
      <c r="J164" s="255">
        <v>26.813698630136987</v>
      </c>
      <c r="K164" s="181">
        <v>321.7291255752794</v>
      </c>
      <c r="L164" s="420" t="s">
        <v>493</v>
      </c>
      <c r="M164" s="422" t="s">
        <v>759</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425">
        <v>0</v>
      </c>
      <c r="AK164" s="323">
        <f t="shared" si="4"/>
        <v>1</v>
      </c>
      <c r="AL164" s="422"/>
      <c r="AM164" s="426">
        <v>41456</v>
      </c>
      <c r="AN164" s="423" t="s">
        <v>1906</v>
      </c>
      <c r="AO164" s="54">
        <v>41484</v>
      </c>
      <c r="AP164" s="420" t="s">
        <v>1907</v>
      </c>
      <c r="AQ164" s="426"/>
      <c r="AR164" s="423">
        <v>0</v>
      </c>
      <c r="AS164" s="423"/>
      <c r="AT164" s="425">
        <v>0</v>
      </c>
      <c r="AU164" s="423">
        <v>1</v>
      </c>
      <c r="AV164" s="423">
        <v>0</v>
      </c>
      <c r="AW164" s="423">
        <v>0</v>
      </c>
      <c r="AX164" s="423" t="s">
        <v>760</v>
      </c>
      <c r="AY164" s="70"/>
      <c r="AZ164" s="70" t="s">
        <v>1537</v>
      </c>
      <c r="BA164" s="47">
        <v>0</v>
      </c>
      <c r="BB164" s="69">
        <v>1</v>
      </c>
      <c r="BC164" s="69">
        <v>8</v>
      </c>
      <c r="BD164" s="69">
        <v>0</v>
      </c>
      <c r="BE164" s="69">
        <v>1</v>
      </c>
      <c r="BF164" s="234">
        <v>0</v>
      </c>
      <c r="BG164" s="766">
        <v>1</v>
      </c>
      <c r="BH164" s="766" t="s">
        <v>2004</v>
      </c>
      <c r="BI164" s="223">
        <v>0</v>
      </c>
      <c r="BJ164" s="70"/>
      <c r="BK164" s="70">
        <v>0</v>
      </c>
      <c r="BL164" s="70"/>
      <c r="BM164" s="70">
        <v>0</v>
      </c>
      <c r="BN164" s="70"/>
      <c r="BO164" s="70">
        <v>0</v>
      </c>
      <c r="BP164" s="70">
        <v>0</v>
      </c>
      <c r="BQ164" s="70">
        <v>0</v>
      </c>
      <c r="BR164" s="70">
        <v>0</v>
      </c>
      <c r="BS164" s="240">
        <v>0</v>
      </c>
      <c r="BT164" s="223">
        <v>1</v>
      </c>
      <c r="BU164" s="70" t="s">
        <v>1908</v>
      </c>
      <c r="BV164" s="70">
        <v>0</v>
      </c>
      <c r="BW164" s="70">
        <v>0</v>
      </c>
      <c r="BX164" s="70">
        <v>0</v>
      </c>
      <c r="BY164" s="70"/>
      <c r="BZ164" s="70"/>
      <c r="CA164" s="70"/>
      <c r="CB164" s="70">
        <v>0</v>
      </c>
      <c r="CC164" s="70">
        <v>1</v>
      </c>
      <c r="CD164" s="70">
        <v>0</v>
      </c>
      <c r="CE164" s="70"/>
      <c r="CF164" s="70" t="s">
        <v>1901</v>
      </c>
      <c r="CG164" s="80" t="s">
        <v>1909</v>
      </c>
      <c r="CH164" s="70">
        <v>0</v>
      </c>
      <c r="CI164" s="70"/>
      <c r="CJ164" s="70">
        <v>0</v>
      </c>
      <c r="CK164" s="70">
        <v>0</v>
      </c>
      <c r="CL164" s="70">
        <v>0</v>
      </c>
      <c r="CM164" s="47">
        <v>161</v>
      </c>
      <c r="CN164" s="47">
        <v>126</v>
      </c>
      <c r="CP164" s="504">
        <v>28</v>
      </c>
      <c r="CQ164" s="504">
        <v>29.8</v>
      </c>
      <c r="CR164" s="418">
        <v>41453</v>
      </c>
      <c r="CS164" s="418">
        <v>41486</v>
      </c>
      <c r="CT164" s="78">
        <v>30</v>
      </c>
      <c r="CU164" s="79">
        <v>44308</v>
      </c>
      <c r="CV164" s="427">
        <v>0</v>
      </c>
      <c r="CW164" s="418"/>
      <c r="CX164" s="427">
        <v>0</v>
      </c>
      <c r="CY164" s="427">
        <v>0</v>
      </c>
      <c r="CZ164" s="427">
        <v>0</v>
      </c>
      <c r="DA164" s="418"/>
      <c r="DB164" s="427">
        <v>0</v>
      </c>
      <c r="DC164" s="418"/>
      <c r="DD164" s="427">
        <v>0</v>
      </c>
      <c r="DE164" s="418"/>
      <c r="DF164" s="427">
        <v>0</v>
      </c>
      <c r="DG164" s="418"/>
      <c r="DH164" s="418"/>
      <c r="DI164" s="70"/>
      <c r="DJ164" s="70">
        <v>0</v>
      </c>
      <c r="DK164" s="255"/>
      <c r="DL164" s="70"/>
      <c r="DM164" s="70"/>
      <c r="DN164" s="70"/>
      <c r="DO164" s="70"/>
      <c r="DP164" s="70"/>
      <c r="DQ164" s="70"/>
      <c r="DR164" s="70"/>
      <c r="DS164" s="70"/>
      <c r="DT164" s="70"/>
      <c r="DU164" s="70"/>
      <c r="DV164" s="70"/>
      <c r="DW164" s="70"/>
      <c r="DX164" s="70"/>
      <c r="DY164" s="70"/>
      <c r="DZ164" s="70"/>
      <c r="EA164" s="70"/>
      <c r="EB164" s="70"/>
      <c r="EC164" s="70"/>
      <c r="ED164" s="70"/>
      <c r="EE164" s="70"/>
      <c r="EF164" s="70"/>
      <c r="EG164" s="70"/>
      <c r="EH164" s="70"/>
      <c r="EI164" s="70"/>
    </row>
    <row r="165" spans="1:139" s="47" customFormat="1" ht="39.75" customHeight="1">
      <c r="A165" s="50">
        <v>315</v>
      </c>
      <c r="B165" s="418">
        <v>41423</v>
      </c>
      <c r="C165" s="55">
        <v>41423.677777777775</v>
      </c>
      <c r="D165" s="419">
        <v>30798974</v>
      </c>
      <c r="E165" s="420" t="s">
        <v>761</v>
      </c>
      <c r="F165" s="47" t="b">
        <v>1</v>
      </c>
      <c r="H165" s="420" t="s">
        <v>418</v>
      </c>
      <c r="I165" s="421" t="s">
        <v>762</v>
      </c>
      <c r="J165" s="255">
        <v>27.638356164383563</v>
      </c>
      <c r="K165" s="181">
        <v>331.62393162393158</v>
      </c>
      <c r="L165" s="420" t="s">
        <v>500</v>
      </c>
      <c r="M165" s="422" t="s">
        <v>763</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425">
        <v>0</v>
      </c>
      <c r="AK165" s="323">
        <f t="shared" si="4"/>
        <v>0</v>
      </c>
      <c r="AL165" s="422"/>
      <c r="AM165" s="426">
        <v>41421</v>
      </c>
      <c r="AN165" s="423" t="s">
        <v>1803</v>
      </c>
      <c r="AO165" s="54">
        <v>41468</v>
      </c>
      <c r="AP165" s="420" t="s">
        <v>1910</v>
      </c>
      <c r="AQ165" s="426">
        <v>41423</v>
      </c>
      <c r="AR165" s="423">
        <v>1</v>
      </c>
      <c r="AS165" s="423" t="s">
        <v>1911</v>
      </c>
      <c r="AT165" s="425">
        <v>0</v>
      </c>
      <c r="AU165" s="423">
        <v>0</v>
      </c>
      <c r="AV165" s="423">
        <v>0</v>
      </c>
      <c r="AW165" s="423">
        <v>1</v>
      </c>
      <c r="AX165" s="420" t="s">
        <v>764</v>
      </c>
      <c r="AY165" s="70"/>
      <c r="AZ165" s="70" t="s">
        <v>1537</v>
      </c>
      <c r="BA165" s="47">
        <v>0</v>
      </c>
      <c r="BB165" s="69">
        <v>1</v>
      </c>
      <c r="BC165" s="69">
        <v>25</v>
      </c>
      <c r="BD165" s="69">
        <v>0</v>
      </c>
      <c r="BE165" s="69">
        <v>0</v>
      </c>
      <c r="BF165" s="234">
        <v>1</v>
      </c>
      <c r="BG165" s="766">
        <v>0</v>
      </c>
      <c r="BH165" s="766"/>
      <c r="BI165" s="223">
        <v>0</v>
      </c>
      <c r="BJ165" s="70"/>
      <c r="BK165" s="70">
        <v>0</v>
      </c>
      <c r="BL165" s="70"/>
      <c r="BM165" s="70">
        <v>0</v>
      </c>
      <c r="BN165" s="70"/>
      <c r="BO165" s="70">
        <v>0</v>
      </c>
      <c r="BP165" s="70">
        <v>0</v>
      </c>
      <c r="BQ165" s="70">
        <v>0</v>
      </c>
      <c r="BR165" s="70">
        <v>0</v>
      </c>
      <c r="BS165" s="240">
        <v>0</v>
      </c>
      <c r="BT165" s="223">
        <v>1</v>
      </c>
      <c r="BU165" s="70" t="s">
        <v>1912</v>
      </c>
      <c r="BV165" s="70">
        <v>0</v>
      </c>
      <c r="BW165" s="70">
        <v>0</v>
      </c>
      <c r="BX165" s="70">
        <v>0</v>
      </c>
      <c r="BY165" s="70"/>
      <c r="BZ165" s="70"/>
      <c r="CA165" s="70"/>
      <c r="CB165" s="70">
        <v>0</v>
      </c>
      <c r="CC165" s="70">
        <v>0</v>
      </c>
      <c r="CD165" s="70">
        <v>0</v>
      </c>
      <c r="CE165" s="70"/>
      <c r="CF165" s="70"/>
      <c r="CG165" s="70"/>
      <c r="CH165" s="70">
        <v>0</v>
      </c>
      <c r="CI165" s="70"/>
      <c r="CJ165" s="70">
        <v>0</v>
      </c>
      <c r="CK165" s="70">
        <v>0</v>
      </c>
      <c r="CL165" s="70"/>
      <c r="CM165" s="47">
        <v>110</v>
      </c>
      <c r="CN165" s="47">
        <v>89</v>
      </c>
      <c r="CP165" s="504">
        <v>29.6</v>
      </c>
      <c r="CQ165" s="504">
        <v>30.7</v>
      </c>
      <c r="CR165" s="418">
        <v>41422</v>
      </c>
      <c r="CS165" s="418">
        <v>41450</v>
      </c>
      <c r="CT165" s="78">
        <v>27</v>
      </c>
      <c r="CU165" s="79">
        <v>43132</v>
      </c>
      <c r="CV165" s="427">
        <v>0</v>
      </c>
      <c r="CW165" s="418"/>
      <c r="CX165" s="427">
        <v>0</v>
      </c>
      <c r="CY165" s="427">
        <v>0</v>
      </c>
      <c r="CZ165" s="427">
        <v>0</v>
      </c>
      <c r="DA165" s="418"/>
      <c r="DB165" s="427">
        <v>0</v>
      </c>
      <c r="DC165" s="418"/>
      <c r="DD165" s="427">
        <v>0</v>
      </c>
      <c r="DE165" s="418"/>
      <c r="DF165" s="427">
        <v>0</v>
      </c>
      <c r="DG165" s="418"/>
      <c r="DH165" s="418"/>
      <c r="DI165" s="70"/>
      <c r="DJ165" s="70">
        <v>0</v>
      </c>
      <c r="DK165" s="255"/>
      <c r="DL165" s="70"/>
      <c r="DM165" s="70"/>
      <c r="DN165" s="70"/>
      <c r="DO165" s="70"/>
      <c r="DP165" s="70"/>
      <c r="DQ165" s="70"/>
      <c r="DR165" s="70"/>
      <c r="DS165" s="70"/>
      <c r="DT165" s="70"/>
      <c r="DU165" s="70"/>
      <c r="DV165" s="70"/>
      <c r="DW165" s="70"/>
      <c r="DX165" s="70"/>
      <c r="DY165" s="70"/>
      <c r="DZ165" s="70"/>
      <c r="EA165" s="70"/>
      <c r="EB165" s="70"/>
      <c r="EC165" s="70"/>
      <c r="ED165" s="70"/>
      <c r="EE165" s="70"/>
      <c r="EF165" s="70"/>
      <c r="EG165" s="70"/>
      <c r="EH165" s="70"/>
      <c r="EI165" s="70"/>
    </row>
    <row r="166" spans="1:139" s="47" customFormat="1" ht="39.75" customHeight="1">
      <c r="A166" s="50">
        <v>316</v>
      </c>
      <c r="B166" s="418">
        <v>41422</v>
      </c>
      <c r="C166" s="55">
        <v>41422.703472222223</v>
      </c>
      <c r="D166" s="419">
        <v>30704881</v>
      </c>
      <c r="E166" s="420" t="s">
        <v>765</v>
      </c>
      <c r="F166" s="47" t="b">
        <v>1</v>
      </c>
      <c r="H166" s="420" t="s">
        <v>441</v>
      </c>
      <c r="I166" s="421" t="s">
        <v>766</v>
      </c>
      <c r="J166" s="255">
        <v>54.063013698630137</v>
      </c>
      <c r="K166" s="181">
        <v>648.68507560815249</v>
      </c>
      <c r="L166" s="420" t="s">
        <v>500</v>
      </c>
      <c r="M166" s="422" t="s">
        <v>767</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v>0</v>
      </c>
      <c r="AK166" s="323">
        <f t="shared" si="4"/>
        <v>0</v>
      </c>
      <c r="AL166" s="186"/>
      <c r="AM166" s="58">
        <v>41401</v>
      </c>
      <c r="AN166" s="52" t="s">
        <v>1906</v>
      </c>
      <c r="AO166" s="54">
        <v>41436</v>
      </c>
      <c r="AP166" s="50" t="s">
        <v>223</v>
      </c>
      <c r="AQ166" s="58"/>
      <c r="AR166" s="52">
        <v>1</v>
      </c>
      <c r="AS166" s="52" t="s">
        <v>1913</v>
      </c>
      <c r="AT166" s="323">
        <v>0</v>
      </c>
      <c r="AU166" s="52">
        <v>0</v>
      </c>
      <c r="AV166" s="52">
        <v>1</v>
      </c>
      <c r="AW166" s="52">
        <v>0</v>
      </c>
      <c r="AX166" s="423" t="s">
        <v>768</v>
      </c>
      <c r="AY166" s="70"/>
      <c r="AZ166" s="70" t="s">
        <v>1537</v>
      </c>
      <c r="BA166" s="47">
        <v>0</v>
      </c>
      <c r="BB166" s="69">
        <v>1</v>
      </c>
      <c r="BC166" s="69">
        <v>2</v>
      </c>
      <c r="BD166" s="69">
        <v>1</v>
      </c>
      <c r="BE166" s="69">
        <v>0</v>
      </c>
      <c r="BF166" s="234">
        <v>0</v>
      </c>
      <c r="BG166" s="766">
        <v>0</v>
      </c>
      <c r="BH166" s="766"/>
      <c r="BI166" s="223">
        <v>1</v>
      </c>
      <c r="BJ166" s="431"/>
      <c r="BK166" s="432">
        <v>1</v>
      </c>
      <c r="BL166" s="431" t="s">
        <v>1914</v>
      </c>
      <c r="BM166" s="80">
        <v>1</v>
      </c>
      <c r="BN166" s="80" t="s">
        <v>1915</v>
      </c>
      <c r="BO166" s="80">
        <v>1</v>
      </c>
      <c r="BP166" s="80">
        <v>0</v>
      </c>
      <c r="BQ166" s="80">
        <v>0</v>
      </c>
      <c r="BR166" s="80">
        <v>0</v>
      </c>
      <c r="BS166" s="240">
        <v>0</v>
      </c>
      <c r="BT166" s="223">
        <v>0</v>
      </c>
      <c r="BU166" s="70"/>
      <c r="BV166" s="70">
        <v>0</v>
      </c>
      <c r="BW166" s="70">
        <v>0</v>
      </c>
      <c r="BX166" s="70">
        <v>0</v>
      </c>
      <c r="BY166" s="70"/>
      <c r="BZ166" s="70"/>
      <c r="CA166" s="70"/>
      <c r="CB166" s="77">
        <v>0</v>
      </c>
      <c r="CC166" s="77">
        <v>1</v>
      </c>
      <c r="CD166" s="77">
        <v>0</v>
      </c>
      <c r="CE166" s="77"/>
      <c r="CF166" s="77" t="s">
        <v>1916</v>
      </c>
      <c r="CG166" s="70" t="s">
        <v>1917</v>
      </c>
      <c r="CH166" s="70">
        <v>1</v>
      </c>
      <c r="CI166" s="70" t="s">
        <v>1918</v>
      </c>
      <c r="CJ166" s="70">
        <v>0</v>
      </c>
      <c r="CK166" s="70">
        <v>0</v>
      </c>
      <c r="CL166" s="70">
        <v>0</v>
      </c>
      <c r="CM166" s="47">
        <v>73</v>
      </c>
      <c r="CN166" s="47">
        <v>52</v>
      </c>
      <c r="CP166" s="504">
        <v>30.5</v>
      </c>
      <c r="CQ166" s="504">
        <v>31.5</v>
      </c>
      <c r="CR166" s="418">
        <v>41403</v>
      </c>
      <c r="CS166" s="418">
        <v>41436</v>
      </c>
      <c r="CT166" s="78">
        <v>14</v>
      </c>
      <c r="CU166" s="79">
        <v>44217</v>
      </c>
      <c r="CV166" s="427">
        <v>0</v>
      </c>
      <c r="CW166" s="418"/>
      <c r="CX166" s="427">
        <v>0</v>
      </c>
      <c r="CY166" s="427">
        <v>0</v>
      </c>
      <c r="CZ166" s="427">
        <v>0</v>
      </c>
      <c r="DA166" s="418"/>
      <c r="DB166" s="427">
        <v>0</v>
      </c>
      <c r="DC166" s="418"/>
      <c r="DD166" s="427">
        <v>0</v>
      </c>
      <c r="DE166" s="418"/>
      <c r="DF166" s="427">
        <v>0</v>
      </c>
      <c r="DG166" s="418"/>
      <c r="DH166" s="418"/>
      <c r="DI166" s="70"/>
      <c r="DJ166" s="70">
        <v>0</v>
      </c>
      <c r="DK166" s="255"/>
      <c r="DL166" s="70"/>
      <c r="DM166" s="70"/>
      <c r="DN166" s="70"/>
      <c r="DO166" s="70"/>
      <c r="DP166" s="70"/>
      <c r="DQ166" s="70"/>
      <c r="DR166" s="70"/>
      <c r="DS166" s="70"/>
      <c r="DT166" s="70"/>
      <c r="DU166" s="70"/>
      <c r="DV166" s="70"/>
      <c r="DW166" s="70"/>
      <c r="DX166" s="70"/>
      <c r="DY166" s="70"/>
      <c r="DZ166" s="70"/>
      <c r="EA166" s="70"/>
      <c r="EB166" s="70"/>
      <c r="EC166" s="70"/>
      <c r="ED166" s="70"/>
      <c r="EE166" s="70"/>
      <c r="EF166" s="70"/>
      <c r="EG166" s="70"/>
      <c r="EH166" s="70"/>
      <c r="EI166" s="70"/>
    </row>
    <row r="167" spans="1:139" s="47" customFormat="1" ht="39.75" customHeight="1">
      <c r="A167" s="50">
        <v>317</v>
      </c>
      <c r="B167" s="418">
        <v>41414</v>
      </c>
      <c r="C167" s="55">
        <v>41414.578472222223</v>
      </c>
      <c r="D167" s="419">
        <v>30528779</v>
      </c>
      <c r="E167" s="420" t="s">
        <v>769</v>
      </c>
      <c r="F167" s="47" t="b">
        <v>1</v>
      </c>
      <c r="H167" s="420" t="s">
        <v>441</v>
      </c>
      <c r="I167" s="421" t="s">
        <v>770</v>
      </c>
      <c r="J167" s="255">
        <v>71.339726027397262</v>
      </c>
      <c r="K167" s="181">
        <v>855.98290598290589</v>
      </c>
      <c r="L167" s="420" t="s">
        <v>771</v>
      </c>
      <c r="M167" s="422" t="s">
        <v>772</v>
      </c>
      <c r="N167" s="47">
        <v>140.5</v>
      </c>
      <c r="O167" s="47">
        <v>49.4</v>
      </c>
      <c r="P167" s="47">
        <f t="shared" si="5"/>
        <v>25.025012347867932</v>
      </c>
      <c r="Q167" s="428">
        <v>41359</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v>0</v>
      </c>
      <c r="AK167" s="323">
        <f t="shared" si="4"/>
        <v>1</v>
      </c>
      <c r="AL167" s="186" t="s">
        <v>1919</v>
      </c>
      <c r="AM167" s="58">
        <v>41409</v>
      </c>
      <c r="AN167" s="52" t="s">
        <v>1906</v>
      </c>
      <c r="AO167" s="54">
        <v>41428</v>
      </c>
      <c r="AP167" s="50" t="s">
        <v>1907</v>
      </c>
      <c r="AQ167" s="58"/>
      <c r="AR167" s="52">
        <v>0</v>
      </c>
      <c r="AS167" s="52"/>
      <c r="AT167" s="323">
        <v>0</v>
      </c>
      <c r="AU167" s="52">
        <v>0</v>
      </c>
      <c r="AV167" s="52">
        <v>0</v>
      </c>
      <c r="AW167" s="52">
        <v>1</v>
      </c>
      <c r="AX167" s="423" t="s">
        <v>773</v>
      </c>
      <c r="AY167" s="70"/>
      <c r="AZ167" s="70"/>
      <c r="BA167" s="47">
        <v>0</v>
      </c>
      <c r="BB167" s="69">
        <v>1</v>
      </c>
      <c r="BC167" s="69">
        <v>12</v>
      </c>
      <c r="BD167" s="69">
        <v>0</v>
      </c>
      <c r="BE167" s="69">
        <v>0</v>
      </c>
      <c r="BF167" s="234">
        <v>0</v>
      </c>
      <c r="BG167" s="766">
        <v>0</v>
      </c>
      <c r="BH167" s="766"/>
      <c r="BI167" s="223">
        <v>1</v>
      </c>
      <c r="BJ167" s="70">
        <v>1</v>
      </c>
      <c r="BK167" s="70">
        <v>0</v>
      </c>
      <c r="BL167" s="70"/>
      <c r="BM167" s="70">
        <v>0</v>
      </c>
      <c r="BN167" s="70"/>
      <c r="BO167" s="70">
        <v>0</v>
      </c>
      <c r="BP167" s="70">
        <v>0</v>
      </c>
      <c r="BQ167" s="70">
        <v>0</v>
      </c>
      <c r="BR167" s="70">
        <v>0</v>
      </c>
      <c r="BS167" s="240">
        <v>0</v>
      </c>
      <c r="BT167" s="223">
        <v>0</v>
      </c>
      <c r="BU167" s="70"/>
      <c r="BV167" s="70">
        <v>0</v>
      </c>
      <c r="BW167" s="70">
        <v>0</v>
      </c>
      <c r="BX167" s="70">
        <v>0</v>
      </c>
      <c r="BY167" s="70"/>
      <c r="BZ167" s="70"/>
      <c r="CA167" s="70"/>
      <c r="CB167" s="77">
        <v>0</v>
      </c>
      <c r="CC167" s="77">
        <v>0</v>
      </c>
      <c r="CD167" s="77">
        <v>0</v>
      </c>
      <c r="CE167" s="77"/>
      <c r="CF167" s="77"/>
      <c r="CG167" s="70"/>
      <c r="CH167" s="70">
        <v>1</v>
      </c>
      <c r="CI167" s="70" t="s">
        <v>1920</v>
      </c>
      <c r="CJ167" s="70">
        <v>1</v>
      </c>
      <c r="CK167" s="70">
        <v>0</v>
      </c>
      <c r="CL167" s="70">
        <v>0</v>
      </c>
      <c r="CM167" s="47">
        <v>94</v>
      </c>
      <c r="CN167" s="47">
        <v>75</v>
      </c>
      <c r="CP167" s="504">
        <v>29.1</v>
      </c>
      <c r="CQ167" s="504">
        <v>31.6</v>
      </c>
      <c r="CR167" s="418">
        <v>41409</v>
      </c>
      <c r="CS167" s="418">
        <v>41429</v>
      </c>
      <c r="CT167" s="78">
        <v>15</v>
      </c>
      <c r="CU167" s="79">
        <v>42837</v>
      </c>
      <c r="CV167" s="427">
        <v>0</v>
      </c>
      <c r="CW167" s="418"/>
      <c r="CX167" s="427">
        <v>0</v>
      </c>
      <c r="CY167" s="427">
        <v>0</v>
      </c>
      <c r="CZ167" s="427">
        <v>0</v>
      </c>
      <c r="DA167" s="418"/>
      <c r="DB167" s="427">
        <v>0</v>
      </c>
      <c r="DC167" s="418"/>
      <c r="DD167" s="427">
        <v>0</v>
      </c>
      <c r="DE167" s="418"/>
      <c r="DF167" s="427">
        <v>0</v>
      </c>
      <c r="DG167" s="418"/>
      <c r="DH167" s="66"/>
      <c r="DI167" s="70"/>
      <c r="DJ167" s="70">
        <v>0</v>
      </c>
      <c r="DK167" s="255"/>
      <c r="DL167" s="70"/>
      <c r="DM167" s="70"/>
      <c r="DN167" s="70"/>
      <c r="DO167" s="70"/>
      <c r="DP167" s="70"/>
      <c r="DQ167" s="70"/>
      <c r="DR167" s="70"/>
      <c r="DS167" s="70"/>
      <c r="DT167" s="70"/>
      <c r="DU167" s="70"/>
      <c r="DV167" s="70"/>
      <c r="DW167" s="70"/>
      <c r="DX167" s="70"/>
      <c r="DY167" s="70"/>
      <c r="DZ167" s="70"/>
      <c r="EA167" s="70"/>
      <c r="EB167" s="70"/>
      <c r="EC167" s="70"/>
      <c r="ED167" s="70"/>
      <c r="EE167" s="70"/>
      <c r="EF167" s="70"/>
      <c r="EG167" s="70"/>
      <c r="EH167" s="70"/>
      <c r="EI167" s="70"/>
    </row>
    <row r="168" spans="1:139" s="48" customFormat="1" ht="39.75" customHeight="1">
      <c r="A168" s="60">
        <v>319</v>
      </c>
      <c r="B168" s="122">
        <v>41388</v>
      </c>
      <c r="C168" s="62">
        <v>41388.52847222222</v>
      </c>
      <c r="D168" s="123">
        <v>30535209</v>
      </c>
      <c r="E168" s="124" t="s">
        <v>774</v>
      </c>
      <c r="F168" s="48" t="b">
        <v>0</v>
      </c>
      <c r="G168" s="48" t="s">
        <v>1558</v>
      </c>
      <c r="H168" s="124" t="s">
        <v>441</v>
      </c>
      <c r="I168" s="125" t="s">
        <v>775</v>
      </c>
      <c r="J168" s="110">
        <v>29.284931506849315</v>
      </c>
      <c r="K168" s="85">
        <v>351.38067061143983</v>
      </c>
      <c r="L168" s="124" t="s">
        <v>493</v>
      </c>
      <c r="M168" s="429" t="s">
        <v>776</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c r="AK168" s="324">
        <f t="shared" si="4"/>
        <v>0</v>
      </c>
      <c r="AL168" s="187"/>
      <c r="AM168" s="191"/>
      <c r="AN168" s="51"/>
      <c r="AO168" s="61"/>
      <c r="AP168" s="60"/>
      <c r="AQ168" s="191"/>
      <c r="AR168" s="51"/>
      <c r="AS168" s="51"/>
      <c r="AT168" s="324"/>
      <c r="AU168" s="51">
        <v>0</v>
      </c>
      <c r="AV168" s="51">
        <v>0</v>
      </c>
      <c r="AW168" s="51">
        <v>0</v>
      </c>
      <c r="AX168" s="127" t="s">
        <v>777</v>
      </c>
      <c r="AY168" s="71">
        <v>0</v>
      </c>
      <c r="AZ168" s="71"/>
      <c r="BB168" s="82">
        <v>0</v>
      </c>
      <c r="BC168" s="82"/>
      <c r="BD168" s="82">
        <v>0</v>
      </c>
      <c r="BE168" s="82">
        <v>0</v>
      </c>
      <c r="BF168" s="235">
        <v>0</v>
      </c>
      <c r="BG168" s="767"/>
      <c r="BH168" s="767"/>
      <c r="BI168" s="224">
        <v>1</v>
      </c>
      <c r="BJ168" s="71"/>
      <c r="BK168" s="71"/>
      <c r="BL168" s="71"/>
      <c r="BM168" s="71"/>
      <c r="BN168" s="71"/>
      <c r="BO168" s="71"/>
      <c r="BP168" s="71"/>
      <c r="BQ168" s="71"/>
      <c r="BR168" s="71"/>
      <c r="BS168" s="241" t="s">
        <v>148</v>
      </c>
      <c r="BT168" s="224"/>
      <c r="BU168" s="71"/>
      <c r="BV168" s="71"/>
      <c r="BW168" s="71"/>
      <c r="BX168" s="71">
        <v>0</v>
      </c>
      <c r="BY168" s="71"/>
      <c r="BZ168" s="71"/>
      <c r="CA168" s="71" t="e">
        <v>#REF!</v>
      </c>
      <c r="CB168" s="86">
        <v>0</v>
      </c>
      <c r="CC168" s="86"/>
      <c r="CD168" s="86"/>
      <c r="CE168" s="86"/>
      <c r="CF168" s="86">
        <v>0</v>
      </c>
      <c r="CG168" s="71"/>
      <c r="CH168" s="71"/>
      <c r="CI168" s="71"/>
      <c r="CJ168" s="71">
        <v>0</v>
      </c>
      <c r="CK168" s="71">
        <v>0</v>
      </c>
      <c r="CL168" s="71"/>
      <c r="CM168" s="48">
        <v>88</v>
      </c>
      <c r="CN168" s="48">
        <v>74</v>
      </c>
      <c r="CP168" s="505">
        <v>29.2</v>
      </c>
      <c r="CQ168" s="505">
        <v>30.4</v>
      </c>
      <c r="CR168" s="122">
        <v>41386</v>
      </c>
      <c r="CS168" s="122">
        <v>41396</v>
      </c>
      <c r="CT168" s="83">
        <v>8</v>
      </c>
      <c r="CU168" s="84"/>
      <c r="CV168" s="128"/>
      <c r="CW168" s="122"/>
      <c r="CX168" s="128"/>
      <c r="CY168" s="128"/>
      <c r="CZ168" s="128"/>
      <c r="DA168" s="122"/>
      <c r="DB168" s="128"/>
      <c r="DC168" s="122"/>
      <c r="DD168" s="128"/>
      <c r="DE168" s="122"/>
      <c r="DF168" s="128"/>
      <c r="DG168" s="122"/>
      <c r="DH168" s="67" t="s">
        <v>778</v>
      </c>
      <c r="DI168" s="71"/>
      <c r="DJ168" s="71">
        <v>0</v>
      </c>
      <c r="DK168" s="110"/>
      <c r="DL168" s="71"/>
      <c r="DM168" s="71"/>
      <c r="DN168" s="71"/>
      <c r="DO168" s="71"/>
      <c r="DP168" s="71"/>
      <c r="DQ168" s="71"/>
      <c r="DR168" s="71"/>
      <c r="DS168" s="71"/>
      <c r="DT168" s="71"/>
      <c r="DU168" s="71"/>
      <c r="DV168" s="71"/>
      <c r="DW168" s="71"/>
      <c r="DX168" s="71"/>
      <c r="DY168" s="71"/>
      <c r="DZ168" s="71"/>
      <c r="EA168" s="71"/>
      <c r="EB168" s="71"/>
      <c r="EC168" s="71"/>
      <c r="ED168" s="71"/>
      <c r="EE168" s="71"/>
      <c r="EF168" s="71"/>
      <c r="EG168" s="71"/>
      <c r="EH168" s="71"/>
      <c r="EI168" s="71"/>
    </row>
    <row r="169" spans="1:139" s="47" customFormat="1" ht="39.75" customHeight="1">
      <c r="A169" s="50">
        <v>321</v>
      </c>
      <c r="B169" s="418">
        <v>41372</v>
      </c>
      <c r="C169" s="55">
        <v>41372.558333333334</v>
      </c>
      <c r="D169" s="419">
        <v>30532758</v>
      </c>
      <c r="E169" s="420" t="s">
        <v>779</v>
      </c>
      <c r="F169" s="47" t="b">
        <v>1</v>
      </c>
      <c r="H169" s="420" t="s">
        <v>418</v>
      </c>
      <c r="I169" s="421" t="s">
        <v>780</v>
      </c>
      <c r="J169" s="255">
        <v>28.057534246575344</v>
      </c>
      <c r="K169" s="433">
        <v>336.65351742274817</v>
      </c>
      <c r="L169" s="420" t="s">
        <v>500</v>
      </c>
      <c r="M169" s="422" t="s">
        <v>781</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435">
        <v>0</v>
      </c>
      <c r="AK169" s="323">
        <f t="shared" si="4"/>
        <v>0</v>
      </c>
      <c r="AL169" s="192" t="s">
        <v>782</v>
      </c>
      <c r="AM169" s="436">
        <v>41339</v>
      </c>
      <c r="AN169" s="80" t="s">
        <v>1921</v>
      </c>
      <c r="AO169" s="54">
        <v>41386</v>
      </c>
      <c r="AP169" s="70" t="s">
        <v>187</v>
      </c>
      <c r="AQ169" s="436">
        <v>41339</v>
      </c>
      <c r="AR169" s="80">
        <v>0</v>
      </c>
      <c r="AS169" s="80"/>
      <c r="AT169" s="435">
        <v>0</v>
      </c>
      <c r="AU169" s="80">
        <v>0</v>
      </c>
      <c r="AV169" s="80">
        <v>1</v>
      </c>
      <c r="AW169" s="80">
        <v>1</v>
      </c>
      <c r="AX169" s="423" t="s">
        <v>783</v>
      </c>
      <c r="AY169" s="70"/>
      <c r="AZ169" s="70" t="s">
        <v>1537</v>
      </c>
      <c r="BA169" s="47">
        <v>0</v>
      </c>
      <c r="BB169" s="437">
        <v>1</v>
      </c>
      <c r="BC169" s="437">
        <v>30</v>
      </c>
      <c r="BD169" s="437">
        <v>0</v>
      </c>
      <c r="BE169" s="437">
        <v>0</v>
      </c>
      <c r="BF169" s="438">
        <v>0</v>
      </c>
      <c r="BG169" s="770">
        <v>0</v>
      </c>
      <c r="BH169" s="770"/>
      <c r="BI169" s="223">
        <v>1</v>
      </c>
      <c r="BJ169" s="70"/>
      <c r="BK169" s="70">
        <v>1</v>
      </c>
      <c r="BL169" s="70" t="s">
        <v>1922</v>
      </c>
      <c r="BM169" s="70">
        <v>1</v>
      </c>
      <c r="BN169" s="80" t="s">
        <v>1923</v>
      </c>
      <c r="BO169" s="70">
        <v>0</v>
      </c>
      <c r="BP169" s="70">
        <v>0</v>
      </c>
      <c r="BQ169" s="70">
        <v>1</v>
      </c>
      <c r="BR169" s="70">
        <v>1</v>
      </c>
      <c r="BS169" s="240">
        <v>0</v>
      </c>
      <c r="BT169" s="223">
        <v>0</v>
      </c>
      <c r="BU169" s="70"/>
      <c r="BV169" s="70">
        <v>0</v>
      </c>
      <c r="BW169" s="70">
        <v>0</v>
      </c>
      <c r="BX169" s="70">
        <v>0</v>
      </c>
      <c r="BY169" s="70"/>
      <c r="BZ169" s="70"/>
      <c r="CA169" s="70"/>
      <c r="CB169" s="77">
        <v>0</v>
      </c>
      <c r="CC169" s="77">
        <v>0</v>
      </c>
      <c r="CD169" s="77">
        <v>0</v>
      </c>
      <c r="CE169" s="77"/>
      <c r="CF169" s="77"/>
      <c r="CG169" s="70"/>
      <c r="CH169" s="70">
        <v>0</v>
      </c>
      <c r="CI169" s="70"/>
      <c r="CJ169" s="70">
        <v>0</v>
      </c>
      <c r="CK169" s="70">
        <v>0</v>
      </c>
      <c r="CL169" s="70">
        <v>0</v>
      </c>
      <c r="CM169" s="47">
        <v>91</v>
      </c>
      <c r="CN169" s="47">
        <v>59</v>
      </c>
      <c r="CP169" s="504">
        <v>29.2</v>
      </c>
      <c r="CQ169" s="504">
        <v>30.2</v>
      </c>
      <c r="CR169" s="418">
        <v>41368</v>
      </c>
      <c r="CS169" s="418">
        <v>41389</v>
      </c>
      <c r="CT169" s="439">
        <v>17</v>
      </c>
      <c r="CU169" s="258">
        <v>43811</v>
      </c>
      <c r="CV169" s="427">
        <v>0</v>
      </c>
      <c r="CW169" s="418"/>
      <c r="CX169" s="427">
        <v>0</v>
      </c>
      <c r="CY169" s="427">
        <v>0</v>
      </c>
      <c r="CZ169" s="427">
        <v>0</v>
      </c>
      <c r="DA169" s="418"/>
      <c r="DB169" s="427">
        <v>0</v>
      </c>
      <c r="DC169" s="418"/>
      <c r="DD169" s="427">
        <v>0</v>
      </c>
      <c r="DE169" s="418"/>
      <c r="DF169" s="427">
        <v>0</v>
      </c>
      <c r="DG169" s="418"/>
      <c r="DH169" s="418"/>
      <c r="DI169" s="70"/>
      <c r="DJ169" s="70">
        <v>0</v>
      </c>
      <c r="DK169" s="255"/>
      <c r="DL169" s="70"/>
      <c r="DM169" s="70"/>
      <c r="DN169" s="70"/>
      <c r="DO169" s="70"/>
      <c r="DP169" s="70"/>
      <c r="DQ169" s="70"/>
      <c r="DR169" s="70"/>
      <c r="DS169" s="70"/>
      <c r="DT169" s="70"/>
      <c r="DU169" s="70"/>
      <c r="DV169" s="70"/>
      <c r="DW169" s="70"/>
      <c r="DX169" s="70"/>
      <c r="DY169" s="70"/>
      <c r="DZ169" s="70"/>
      <c r="EA169" s="70"/>
      <c r="EB169" s="70"/>
      <c r="EC169" s="70"/>
      <c r="ED169" s="70"/>
      <c r="EE169" s="70"/>
      <c r="EF169" s="70"/>
      <c r="EG169" s="70"/>
      <c r="EH169" s="70"/>
      <c r="EI169" s="70"/>
    </row>
    <row r="170" spans="1:139" s="48" customFormat="1" ht="39.75" customHeight="1">
      <c r="A170" s="60">
        <v>322</v>
      </c>
      <c r="B170" s="122">
        <v>41368</v>
      </c>
      <c r="C170" s="62">
        <v>41368.29583333333</v>
      </c>
      <c r="D170" s="123">
        <v>228773</v>
      </c>
      <c r="E170" s="124" t="s">
        <v>784</v>
      </c>
      <c r="F170" s="48" t="b">
        <v>0</v>
      </c>
      <c r="G170" s="48" t="s">
        <v>1487</v>
      </c>
      <c r="H170" s="124" t="s">
        <v>441</v>
      </c>
      <c r="I170" s="125" t="s">
        <v>785</v>
      </c>
      <c r="J170" s="110">
        <v>57.506849315068493</v>
      </c>
      <c r="K170" s="85">
        <v>690.0065746219592</v>
      </c>
      <c r="L170" s="124" t="s">
        <v>419</v>
      </c>
      <c r="M170" s="429" t="s">
        <v>786</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442"/>
      <c r="AK170" s="324">
        <f t="shared" si="4"/>
        <v>0</v>
      </c>
      <c r="AL170" s="429"/>
      <c r="AM170" s="440"/>
      <c r="AN170" s="127"/>
      <c r="AO170" s="61"/>
      <c r="AP170" s="124"/>
      <c r="AQ170" s="440"/>
      <c r="AR170" s="127"/>
      <c r="AS170" s="127"/>
      <c r="AT170" s="442"/>
      <c r="AU170" s="127"/>
      <c r="AV170" s="127"/>
      <c r="AW170" s="127"/>
      <c r="AX170" s="127" t="s">
        <v>787</v>
      </c>
      <c r="AY170" s="71"/>
      <c r="AZ170" s="71"/>
      <c r="BB170" s="82"/>
      <c r="BC170" s="82"/>
      <c r="BD170" s="82"/>
      <c r="BE170" s="82"/>
      <c r="BF170" s="235"/>
      <c r="BG170" s="767"/>
      <c r="BH170" s="767"/>
      <c r="BI170" s="224"/>
      <c r="BJ170" s="71"/>
      <c r="BK170" s="71"/>
      <c r="BL170" s="71"/>
      <c r="BM170" s="71"/>
      <c r="BN170" s="71"/>
      <c r="BO170" s="71"/>
      <c r="BP170" s="71"/>
      <c r="BQ170" s="71"/>
      <c r="BR170" s="71"/>
      <c r="BS170" s="241"/>
      <c r="BT170" s="224" t="s">
        <v>174</v>
      </c>
      <c r="BU170" s="71"/>
      <c r="BV170" s="71"/>
      <c r="BW170" s="71"/>
      <c r="BX170" s="71"/>
      <c r="BY170" s="71"/>
      <c r="BZ170" s="71"/>
      <c r="CA170" s="71"/>
      <c r="CB170" s="71"/>
      <c r="CC170" s="71"/>
      <c r="CD170" s="71"/>
      <c r="CE170" s="71"/>
      <c r="CF170" s="71"/>
      <c r="CG170" s="71"/>
      <c r="CH170" s="71"/>
      <c r="CI170" s="71"/>
      <c r="CJ170" s="71">
        <v>0</v>
      </c>
      <c r="CK170" s="71">
        <v>0</v>
      </c>
      <c r="CL170" s="71" t="s">
        <v>714</v>
      </c>
      <c r="CM170" s="48">
        <v>168</v>
      </c>
      <c r="CN170" s="48">
        <v>141</v>
      </c>
      <c r="CP170" s="505">
        <v>28.7</v>
      </c>
      <c r="CQ170" s="505">
        <v>29.7</v>
      </c>
      <c r="CR170" s="122">
        <v>41363</v>
      </c>
      <c r="CS170" s="122">
        <v>41423</v>
      </c>
      <c r="CT170" s="83">
        <v>55</v>
      </c>
      <c r="CU170" s="84"/>
      <c r="CV170" s="128"/>
      <c r="CW170" s="122"/>
      <c r="CX170" s="128"/>
      <c r="CY170" s="128"/>
      <c r="CZ170" s="128"/>
      <c r="DA170" s="122"/>
      <c r="DB170" s="128"/>
      <c r="DC170" s="122"/>
      <c r="DD170" s="128"/>
      <c r="DE170" s="122"/>
      <c r="DF170" s="128"/>
      <c r="DG170" s="122"/>
      <c r="DH170" s="122"/>
      <c r="DI170" s="71"/>
      <c r="DJ170" s="71">
        <v>0</v>
      </c>
      <c r="DK170" s="110"/>
      <c r="DL170" s="71"/>
      <c r="DM170" s="71"/>
      <c r="DN170" s="71"/>
      <c r="DO170" s="71"/>
      <c r="DP170" s="71"/>
      <c r="DQ170" s="71"/>
      <c r="DR170" s="71"/>
      <c r="DS170" s="71"/>
      <c r="DT170" s="71"/>
      <c r="DU170" s="71"/>
      <c r="DV170" s="71"/>
      <c r="DW170" s="71"/>
      <c r="DX170" s="71"/>
      <c r="DY170" s="71"/>
      <c r="DZ170" s="71"/>
      <c r="EA170" s="71"/>
      <c r="EB170" s="71"/>
      <c r="EC170" s="71"/>
      <c r="ED170" s="71"/>
      <c r="EE170" s="71"/>
      <c r="EF170" s="71"/>
      <c r="EG170" s="71"/>
      <c r="EH170" s="71"/>
      <c r="EI170" s="71"/>
    </row>
    <row r="171" spans="1:139" s="47" customFormat="1" ht="39.75" customHeight="1">
      <c r="A171" s="50">
        <v>324</v>
      </c>
      <c r="B171" s="418">
        <v>41362</v>
      </c>
      <c r="C171" s="55">
        <v>41362.604166666664</v>
      </c>
      <c r="D171" s="419">
        <v>30493635</v>
      </c>
      <c r="E171" s="420" t="s">
        <v>788</v>
      </c>
      <c r="F171" s="47" t="b">
        <v>1</v>
      </c>
      <c r="H171" s="420" t="s">
        <v>441</v>
      </c>
      <c r="I171" s="421" t="s">
        <v>789</v>
      </c>
      <c r="J171" s="255">
        <v>19.520547945205479</v>
      </c>
      <c r="K171" s="181">
        <v>234.22090729783037</v>
      </c>
      <c r="L171" s="420" t="s">
        <v>500</v>
      </c>
      <c r="M171" s="422" t="s">
        <v>790</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v>0</v>
      </c>
      <c r="AK171" s="323">
        <f t="shared" si="4"/>
        <v>0</v>
      </c>
      <c r="AL171" s="186"/>
      <c r="AM171" s="58">
        <v>41345</v>
      </c>
      <c r="AN171" s="52" t="s">
        <v>1924</v>
      </c>
      <c r="AO171" s="54">
        <v>41404</v>
      </c>
      <c r="AP171" s="50" t="s">
        <v>187</v>
      </c>
      <c r="AQ171" s="58">
        <v>41345</v>
      </c>
      <c r="AR171" s="52">
        <v>1</v>
      </c>
      <c r="AS171" s="52" t="s">
        <v>749</v>
      </c>
      <c r="AT171" s="323">
        <v>0</v>
      </c>
      <c r="AU171" s="52">
        <v>0</v>
      </c>
      <c r="AV171" s="52">
        <v>1</v>
      </c>
      <c r="AW171" s="52">
        <v>1</v>
      </c>
      <c r="AX171" s="423" t="s">
        <v>791</v>
      </c>
      <c r="AY171" s="70"/>
      <c r="AZ171" s="70" t="s">
        <v>1925</v>
      </c>
      <c r="BA171" s="47">
        <v>0</v>
      </c>
      <c r="BB171" s="69">
        <v>1</v>
      </c>
      <c r="BC171" s="69">
        <v>20</v>
      </c>
      <c r="BD171" s="69">
        <v>0</v>
      </c>
      <c r="BE171" s="69">
        <v>0</v>
      </c>
      <c r="BF171" s="234">
        <v>0</v>
      </c>
      <c r="BG171" s="766">
        <v>0</v>
      </c>
      <c r="BH171" s="766"/>
      <c r="BI171" s="223">
        <v>1</v>
      </c>
      <c r="BJ171" s="70"/>
      <c r="BK171" s="70">
        <v>1</v>
      </c>
      <c r="BL171" s="70" t="s">
        <v>1926</v>
      </c>
      <c r="BM171" s="70">
        <v>1</v>
      </c>
      <c r="BN171" s="70" t="s">
        <v>1927</v>
      </c>
      <c r="BO171" s="70">
        <v>0</v>
      </c>
      <c r="BP171" s="70">
        <v>0</v>
      </c>
      <c r="BQ171" s="70">
        <v>1</v>
      </c>
      <c r="BR171" s="70">
        <v>0</v>
      </c>
      <c r="BS171" s="240">
        <v>0</v>
      </c>
      <c r="BT171" s="223">
        <v>0</v>
      </c>
      <c r="BU171" s="70"/>
      <c r="BV171" s="70">
        <v>0</v>
      </c>
      <c r="BW171" s="70">
        <v>0</v>
      </c>
      <c r="BX171" s="70">
        <v>0</v>
      </c>
      <c r="BY171" s="70"/>
      <c r="BZ171" s="70"/>
      <c r="CA171" s="70"/>
      <c r="CB171" s="77">
        <v>0</v>
      </c>
      <c r="CC171" s="77">
        <v>0</v>
      </c>
      <c r="CD171" s="77">
        <v>0</v>
      </c>
      <c r="CE171" s="77"/>
      <c r="CF171" s="77"/>
      <c r="CG171" s="70"/>
      <c r="CH171" s="70">
        <v>0</v>
      </c>
      <c r="CI171" s="70"/>
      <c r="CJ171" s="70">
        <v>0</v>
      </c>
      <c r="CK171" s="70">
        <v>0</v>
      </c>
      <c r="CL171" s="70">
        <v>0</v>
      </c>
      <c r="CM171" s="47">
        <v>61</v>
      </c>
      <c r="CN171" s="47">
        <v>40</v>
      </c>
      <c r="CP171" s="504">
        <v>31</v>
      </c>
      <c r="CQ171" s="504">
        <v>32</v>
      </c>
      <c r="CR171" s="418">
        <v>41361</v>
      </c>
      <c r="CS171" s="418">
        <v>41383</v>
      </c>
      <c r="CT171" s="78">
        <v>21</v>
      </c>
      <c r="CU171" s="79">
        <v>43601</v>
      </c>
      <c r="CV171" s="427">
        <v>0</v>
      </c>
      <c r="CW171" s="418"/>
      <c r="CX171" s="427">
        <v>0</v>
      </c>
      <c r="CY171" s="427">
        <v>0</v>
      </c>
      <c r="CZ171" s="427">
        <v>0</v>
      </c>
      <c r="DA171" s="418"/>
      <c r="DB171" s="427">
        <v>0</v>
      </c>
      <c r="DC171" s="418"/>
      <c r="DD171" s="427">
        <v>0</v>
      </c>
      <c r="DE171" s="418"/>
      <c r="DF171" s="427">
        <v>0</v>
      </c>
      <c r="DG171" s="418"/>
      <c r="DH171" s="418"/>
      <c r="DI171" s="70"/>
      <c r="DJ171" s="70">
        <v>0</v>
      </c>
      <c r="DK171" s="255"/>
      <c r="DL171" s="70"/>
      <c r="DM171" s="70"/>
      <c r="DN171" s="70"/>
      <c r="DO171" s="70"/>
      <c r="DP171" s="70"/>
      <c r="DQ171" s="70"/>
      <c r="DR171" s="70"/>
      <c r="DS171" s="70"/>
      <c r="DT171" s="70"/>
      <c r="DU171" s="70"/>
      <c r="DV171" s="70"/>
      <c r="DW171" s="70"/>
      <c r="DX171" s="70"/>
      <c r="DY171" s="70"/>
      <c r="DZ171" s="70"/>
      <c r="EA171" s="70"/>
      <c r="EB171" s="70"/>
      <c r="EC171" s="70"/>
      <c r="ED171" s="70"/>
      <c r="EE171" s="70"/>
      <c r="EF171" s="70"/>
      <c r="EG171" s="70"/>
      <c r="EH171" s="70"/>
      <c r="EI171" s="70"/>
    </row>
    <row r="172" spans="1:139" s="47" customFormat="1" ht="39.75" customHeight="1">
      <c r="A172" s="50">
        <v>325</v>
      </c>
      <c r="B172" s="418">
        <v>41360</v>
      </c>
      <c r="C172" s="55">
        <v>41360.315972222219</v>
      </c>
      <c r="D172" s="419">
        <v>30486169</v>
      </c>
      <c r="E172" s="420" t="s">
        <v>792</v>
      </c>
      <c r="F172" s="47" t="b">
        <v>1</v>
      </c>
      <c r="H172" s="420" t="s">
        <v>441</v>
      </c>
      <c r="I172" s="421" t="s">
        <v>793</v>
      </c>
      <c r="J172" s="255">
        <v>47.057534246575344</v>
      </c>
      <c r="K172" s="181">
        <v>564.62853385930305</v>
      </c>
      <c r="L172" s="420" t="s">
        <v>500</v>
      </c>
      <c r="M172" s="422" t="s">
        <v>794</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425">
        <v>0</v>
      </c>
      <c r="AK172" s="323">
        <f t="shared" si="4"/>
        <v>0</v>
      </c>
      <c r="AL172" s="422"/>
      <c r="AM172" s="426">
        <v>41353</v>
      </c>
      <c r="AN172" s="52" t="s">
        <v>1924</v>
      </c>
      <c r="AO172" s="54">
        <v>41388</v>
      </c>
      <c r="AP172" s="420" t="s">
        <v>1928</v>
      </c>
      <c r="AQ172" s="426">
        <v>41362</v>
      </c>
      <c r="AR172" s="423">
        <v>1</v>
      </c>
      <c r="AS172" s="423" t="s">
        <v>1929</v>
      </c>
      <c r="AT172" s="425">
        <v>0</v>
      </c>
      <c r="AU172" s="423">
        <v>0</v>
      </c>
      <c r="AV172" s="423">
        <v>0</v>
      </c>
      <c r="AW172" s="423">
        <v>1</v>
      </c>
      <c r="AX172" s="423" t="s">
        <v>795</v>
      </c>
      <c r="AY172" s="70" t="s">
        <v>1930</v>
      </c>
      <c r="AZ172" s="70"/>
      <c r="BA172" s="47">
        <v>0</v>
      </c>
      <c r="BB172" s="69">
        <v>1</v>
      </c>
      <c r="BC172" s="69"/>
      <c r="BD172" s="69">
        <v>0</v>
      </c>
      <c r="BE172" s="69">
        <v>0</v>
      </c>
      <c r="BF172" s="234">
        <v>0</v>
      </c>
      <c r="BG172" s="766">
        <v>0</v>
      </c>
      <c r="BH172" s="766"/>
      <c r="BI172" s="223">
        <v>0</v>
      </c>
      <c r="BJ172" s="70"/>
      <c r="BK172" s="70">
        <v>0</v>
      </c>
      <c r="BL172" s="70"/>
      <c r="BM172" s="70">
        <v>0</v>
      </c>
      <c r="BN172" s="70"/>
      <c r="BO172" s="70">
        <v>0</v>
      </c>
      <c r="BP172" s="70">
        <v>0</v>
      </c>
      <c r="BQ172" s="70">
        <v>0</v>
      </c>
      <c r="BR172" s="70">
        <v>0</v>
      </c>
      <c r="BS172" s="240">
        <v>0</v>
      </c>
      <c r="BT172" s="223">
        <v>1</v>
      </c>
      <c r="BU172" s="70" t="s">
        <v>1931</v>
      </c>
      <c r="BV172" s="70">
        <v>0</v>
      </c>
      <c r="BW172" s="70">
        <v>0</v>
      </c>
      <c r="BX172" s="70">
        <v>0</v>
      </c>
      <c r="BY172" s="70"/>
      <c r="BZ172" s="70"/>
      <c r="CA172" s="70"/>
      <c r="CB172" s="70">
        <v>0</v>
      </c>
      <c r="CC172" s="70">
        <v>0</v>
      </c>
      <c r="CD172" s="70">
        <v>0</v>
      </c>
      <c r="CE172" s="70"/>
      <c r="CF172" s="70"/>
      <c r="CG172" s="70"/>
      <c r="CH172" s="70">
        <v>1</v>
      </c>
      <c r="CI172" s="70" t="s">
        <v>1932</v>
      </c>
      <c r="CJ172" s="70">
        <v>0</v>
      </c>
      <c r="CK172" s="70">
        <v>0</v>
      </c>
      <c r="CL172" s="70">
        <v>0</v>
      </c>
      <c r="CM172" s="47">
        <v>69</v>
      </c>
      <c r="CN172" s="47">
        <v>54</v>
      </c>
      <c r="CP172" s="504">
        <v>30.5</v>
      </c>
      <c r="CQ172" s="504">
        <v>31.5</v>
      </c>
      <c r="CR172" s="418">
        <v>41358</v>
      </c>
      <c r="CS172" s="418">
        <v>41381</v>
      </c>
      <c r="CT172" s="78">
        <v>21</v>
      </c>
      <c r="CU172" s="79">
        <v>44330</v>
      </c>
      <c r="CV172" s="427">
        <v>0</v>
      </c>
      <c r="CW172" s="418"/>
      <c r="CX172" s="427">
        <v>0</v>
      </c>
      <c r="CY172" s="427">
        <v>0</v>
      </c>
      <c r="CZ172" s="427">
        <v>0</v>
      </c>
      <c r="DA172" s="418"/>
      <c r="DB172" s="427">
        <v>0</v>
      </c>
      <c r="DC172" s="418"/>
      <c r="DD172" s="427">
        <v>0</v>
      </c>
      <c r="DE172" s="418"/>
      <c r="DF172" s="427">
        <v>0</v>
      </c>
      <c r="DG172" s="418"/>
      <c r="DH172" s="418"/>
      <c r="DI172" s="70"/>
      <c r="DJ172" s="70">
        <v>0</v>
      </c>
      <c r="DK172" s="255"/>
      <c r="DL172" s="70"/>
      <c r="DM172" s="70"/>
      <c r="DN172" s="70"/>
      <c r="DO172" s="70"/>
      <c r="DP172" s="70"/>
      <c r="DQ172" s="70"/>
      <c r="DR172" s="70"/>
      <c r="DS172" s="70"/>
      <c r="DT172" s="70"/>
      <c r="DU172" s="70"/>
      <c r="DV172" s="70"/>
      <c r="DW172" s="70"/>
      <c r="DX172" s="70"/>
      <c r="DY172" s="70"/>
      <c r="DZ172" s="70"/>
      <c r="EA172" s="70"/>
      <c r="EB172" s="70"/>
      <c r="EC172" s="70"/>
      <c r="ED172" s="70"/>
      <c r="EE172" s="70"/>
      <c r="EF172" s="70"/>
      <c r="EG172" s="70"/>
      <c r="EH172" s="70"/>
      <c r="EI172" s="70"/>
    </row>
    <row r="173" spans="1:139" s="47" customFormat="1" ht="39.75" customHeight="1">
      <c r="A173" s="50">
        <v>326</v>
      </c>
      <c r="B173" s="418">
        <v>41345</v>
      </c>
      <c r="C173" s="55">
        <v>41345.291666666664</v>
      </c>
      <c r="D173" s="419">
        <v>30400044</v>
      </c>
      <c r="E173" s="420" t="s">
        <v>796</v>
      </c>
      <c r="F173" s="47" t="b">
        <v>1</v>
      </c>
      <c r="H173" s="420" t="s">
        <v>441</v>
      </c>
      <c r="I173" s="421" t="s">
        <v>797</v>
      </c>
      <c r="J173" s="255">
        <v>52.673972602739724</v>
      </c>
      <c r="K173" s="181">
        <v>632.01840894148586</v>
      </c>
      <c r="L173" s="420" t="s">
        <v>798</v>
      </c>
      <c r="M173" s="422" t="s">
        <v>799</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425">
        <v>0</v>
      </c>
      <c r="AK173" s="323">
        <f t="shared" si="4"/>
        <v>1</v>
      </c>
      <c r="AL173" s="422"/>
      <c r="AM173" s="426">
        <v>41339</v>
      </c>
      <c r="AN173" s="423" t="s">
        <v>1673</v>
      </c>
      <c r="AO173" s="54"/>
      <c r="AP173" s="420" t="s">
        <v>1933</v>
      </c>
      <c r="AQ173" s="426">
        <v>41337</v>
      </c>
      <c r="AR173" s="423">
        <v>1</v>
      </c>
      <c r="AS173" s="423" t="s">
        <v>1913</v>
      </c>
      <c r="AT173" s="425">
        <v>0</v>
      </c>
      <c r="AU173" s="423">
        <v>1</v>
      </c>
      <c r="AV173" s="423">
        <v>0</v>
      </c>
      <c r="AW173" s="423">
        <v>1</v>
      </c>
      <c r="AX173" s="423" t="s">
        <v>800</v>
      </c>
      <c r="AY173" s="70"/>
      <c r="AZ173" s="70" t="s">
        <v>1901</v>
      </c>
      <c r="BA173" s="47">
        <v>0</v>
      </c>
      <c r="BB173" s="69">
        <v>1</v>
      </c>
      <c r="BC173" s="69">
        <v>35</v>
      </c>
      <c r="BD173" s="69">
        <v>0</v>
      </c>
      <c r="BE173" s="69">
        <v>0</v>
      </c>
      <c r="BF173" s="234">
        <v>0</v>
      </c>
      <c r="BG173" s="766">
        <v>1</v>
      </c>
      <c r="BH173" s="766" t="s">
        <v>2004</v>
      </c>
      <c r="BI173" s="223">
        <v>0</v>
      </c>
      <c r="BJ173" s="70"/>
      <c r="BK173" s="70">
        <v>0</v>
      </c>
      <c r="BL173" s="70"/>
      <c r="BM173" s="70">
        <v>0</v>
      </c>
      <c r="BN173" s="70"/>
      <c r="BO173" s="70">
        <v>0</v>
      </c>
      <c r="BP173" s="70">
        <v>0</v>
      </c>
      <c r="BQ173" s="70">
        <v>0</v>
      </c>
      <c r="BR173" s="70">
        <v>0</v>
      </c>
      <c r="BS173" s="240">
        <v>0</v>
      </c>
      <c r="BT173" s="223">
        <v>1</v>
      </c>
      <c r="BU173" s="70" t="s">
        <v>1934</v>
      </c>
      <c r="BV173" s="70">
        <v>0</v>
      </c>
      <c r="BW173" s="70">
        <v>0</v>
      </c>
      <c r="BX173" s="70">
        <v>0</v>
      </c>
      <c r="BY173" s="70"/>
      <c r="BZ173" s="70"/>
      <c r="CA173" s="70"/>
      <c r="CB173" s="70">
        <v>0</v>
      </c>
      <c r="CC173" s="70">
        <v>0</v>
      </c>
      <c r="CD173" s="70">
        <v>0</v>
      </c>
      <c r="CE173" s="70"/>
      <c r="CF173" s="70"/>
      <c r="CG173" s="70"/>
      <c r="CH173" s="70">
        <v>0</v>
      </c>
      <c r="CI173" s="70"/>
      <c r="CJ173" s="70">
        <v>0</v>
      </c>
      <c r="CK173" s="70">
        <v>0</v>
      </c>
      <c r="CL173" s="70">
        <v>0</v>
      </c>
      <c r="CM173" s="47">
        <v>146</v>
      </c>
      <c r="CN173" s="47">
        <v>110</v>
      </c>
      <c r="CP173" s="504">
        <v>29.6</v>
      </c>
      <c r="CQ173" s="504">
        <v>30.8</v>
      </c>
      <c r="CR173" s="418">
        <v>41341</v>
      </c>
      <c r="CS173" s="418">
        <v>41384</v>
      </c>
      <c r="CT173" s="78">
        <v>39</v>
      </c>
      <c r="CU173" s="79">
        <v>41384</v>
      </c>
      <c r="CV173" s="427">
        <v>0</v>
      </c>
      <c r="CW173" s="418"/>
      <c r="CX173" s="427">
        <v>0</v>
      </c>
      <c r="CY173" s="427">
        <v>0</v>
      </c>
      <c r="CZ173" s="427">
        <v>0</v>
      </c>
      <c r="DA173" s="418"/>
      <c r="DB173" s="427">
        <v>0</v>
      </c>
      <c r="DC173" s="418"/>
      <c r="DD173" s="427">
        <v>0</v>
      </c>
      <c r="DE173" s="418"/>
      <c r="DF173" s="427">
        <v>0</v>
      </c>
      <c r="DG173" s="418"/>
      <c r="DH173" s="418"/>
      <c r="DI173" s="70"/>
      <c r="DJ173" s="70">
        <v>0</v>
      </c>
      <c r="DK173" s="255"/>
      <c r="DL173" s="70"/>
      <c r="DM173" s="70"/>
      <c r="DN173" s="70"/>
      <c r="DO173" s="70"/>
      <c r="DP173" s="70"/>
      <c r="DQ173" s="70"/>
      <c r="DR173" s="70"/>
      <c r="DS173" s="70"/>
      <c r="DT173" s="70"/>
      <c r="DU173" s="70"/>
      <c r="DV173" s="70"/>
      <c r="DW173" s="70"/>
      <c r="DX173" s="70"/>
      <c r="DY173" s="70"/>
      <c r="DZ173" s="70"/>
      <c r="EA173" s="70"/>
      <c r="EB173" s="70"/>
      <c r="EC173" s="70"/>
      <c r="ED173" s="70"/>
      <c r="EE173" s="70"/>
      <c r="EF173" s="70"/>
      <c r="EG173" s="70"/>
      <c r="EH173" s="70"/>
      <c r="EI173" s="70"/>
    </row>
    <row r="174" spans="1:139" s="47" customFormat="1" ht="39.75" customHeight="1">
      <c r="A174" s="50">
        <v>327</v>
      </c>
      <c r="B174" s="418">
        <v>41344</v>
      </c>
      <c r="C174" s="55">
        <v>41344.302777777775</v>
      </c>
      <c r="D174" s="419">
        <v>10896359</v>
      </c>
      <c r="E174" s="420" t="s">
        <v>801</v>
      </c>
      <c r="F174" s="47" t="b">
        <v>1</v>
      </c>
      <c r="H174" s="420" t="s">
        <v>418</v>
      </c>
      <c r="I174" s="421" t="s">
        <v>802</v>
      </c>
      <c r="J174" s="255">
        <v>50.210958904109589</v>
      </c>
      <c r="K174" s="181">
        <v>602.46548323471393</v>
      </c>
      <c r="L174" s="420" t="s">
        <v>419</v>
      </c>
      <c r="M174" s="422" t="s">
        <v>803</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425">
        <v>0</v>
      </c>
      <c r="AK174" s="323">
        <f t="shared" si="4"/>
        <v>0</v>
      </c>
      <c r="AL174" s="422"/>
      <c r="AM174" s="426">
        <v>41341</v>
      </c>
      <c r="AN174" s="423" t="s">
        <v>1935</v>
      </c>
      <c r="AO174" s="54">
        <v>41371</v>
      </c>
      <c r="AP174" s="420" t="s">
        <v>1907</v>
      </c>
      <c r="AQ174" s="426"/>
      <c r="AR174" s="423">
        <v>0</v>
      </c>
      <c r="AS174" s="423"/>
      <c r="AT174" s="425">
        <v>0</v>
      </c>
      <c r="AU174" s="423">
        <v>0</v>
      </c>
      <c r="AV174" s="423">
        <v>0</v>
      </c>
      <c r="AW174" s="423">
        <v>1</v>
      </c>
      <c r="AX174" s="423" t="s">
        <v>804</v>
      </c>
      <c r="AY174" s="70"/>
      <c r="AZ174" s="70" t="s">
        <v>1537</v>
      </c>
      <c r="BA174" s="47">
        <v>0</v>
      </c>
      <c r="BB174" s="69">
        <v>1</v>
      </c>
      <c r="BC174" s="69"/>
      <c r="BD174" s="69">
        <v>1</v>
      </c>
      <c r="BE174" s="69">
        <v>0</v>
      </c>
      <c r="BF174" s="234">
        <v>0</v>
      </c>
      <c r="BG174" s="766">
        <v>0</v>
      </c>
      <c r="BH174" s="766"/>
      <c r="BI174" s="223">
        <v>0</v>
      </c>
      <c r="BJ174" s="70"/>
      <c r="BK174" s="70">
        <v>0</v>
      </c>
      <c r="BL174" s="70"/>
      <c r="BM174" s="70">
        <v>0</v>
      </c>
      <c r="BN174" s="70"/>
      <c r="BO174" s="70">
        <v>0</v>
      </c>
      <c r="BP174" s="70">
        <v>0</v>
      </c>
      <c r="BQ174" s="70">
        <v>0</v>
      </c>
      <c r="BR174" s="70">
        <v>0</v>
      </c>
      <c r="BS174" s="240">
        <v>0</v>
      </c>
      <c r="BT174" s="223">
        <v>1</v>
      </c>
      <c r="BU174" s="70" t="s">
        <v>1936</v>
      </c>
      <c r="BV174" s="70">
        <v>0</v>
      </c>
      <c r="BW174" s="70">
        <v>0</v>
      </c>
      <c r="BX174" s="70">
        <v>0</v>
      </c>
      <c r="BY174" s="70"/>
      <c r="BZ174" s="70"/>
      <c r="CA174" s="70"/>
      <c r="CB174" s="70">
        <v>0</v>
      </c>
      <c r="CC174" s="70">
        <v>0</v>
      </c>
      <c r="CD174" s="70">
        <v>0</v>
      </c>
      <c r="CE174" s="70"/>
      <c r="CF174" s="70"/>
      <c r="CG174" s="70"/>
      <c r="CH174" s="70">
        <v>1</v>
      </c>
      <c r="CI174" s="70" t="s">
        <v>1932</v>
      </c>
      <c r="CJ174" s="70">
        <v>0</v>
      </c>
      <c r="CK174" s="70">
        <v>0</v>
      </c>
      <c r="CL174" s="70">
        <v>0</v>
      </c>
      <c r="CM174" s="47">
        <v>107</v>
      </c>
      <c r="CN174" s="47">
        <v>82</v>
      </c>
      <c r="CP174" s="504">
        <v>30.9</v>
      </c>
      <c r="CQ174" s="504">
        <v>30.8</v>
      </c>
      <c r="CR174" s="418">
        <v>41332</v>
      </c>
      <c r="CS174" s="418">
        <v>41373</v>
      </c>
      <c r="CT174" s="78">
        <v>29</v>
      </c>
      <c r="CU174" s="79">
        <v>44223</v>
      </c>
      <c r="CV174" s="427">
        <v>0</v>
      </c>
      <c r="CW174" s="418"/>
      <c r="CX174" s="427">
        <v>0</v>
      </c>
      <c r="CY174" s="427">
        <v>0</v>
      </c>
      <c r="CZ174" s="427">
        <v>0</v>
      </c>
      <c r="DA174" s="418"/>
      <c r="DB174" s="427">
        <v>0</v>
      </c>
      <c r="DC174" s="418"/>
      <c r="DD174" s="427">
        <v>0</v>
      </c>
      <c r="DE174" s="418"/>
      <c r="DF174" s="427">
        <v>0</v>
      </c>
      <c r="DG174" s="418"/>
      <c r="DH174" s="418"/>
      <c r="DI174" s="70"/>
      <c r="DJ174" s="70">
        <v>0</v>
      </c>
      <c r="DK174" s="255"/>
      <c r="DL174" s="70"/>
      <c r="DM174" s="70"/>
      <c r="DN174" s="70"/>
      <c r="DO174" s="70"/>
      <c r="DP174" s="70"/>
      <c r="DQ174" s="70"/>
      <c r="DR174" s="70"/>
      <c r="DS174" s="70"/>
      <c r="DT174" s="70"/>
      <c r="DU174" s="70"/>
      <c r="DV174" s="70"/>
      <c r="DW174" s="70"/>
      <c r="DX174" s="70"/>
      <c r="DY174" s="70"/>
      <c r="DZ174" s="70"/>
      <c r="EA174" s="70"/>
      <c r="EB174" s="70"/>
      <c r="EC174" s="70"/>
      <c r="ED174" s="70"/>
      <c r="EE174" s="70"/>
      <c r="EF174" s="70"/>
      <c r="EG174" s="70"/>
      <c r="EH174" s="70"/>
      <c r="EI174" s="70"/>
    </row>
    <row r="175" spans="1:139" s="47" customFormat="1" ht="39.75" customHeight="1">
      <c r="A175" s="50">
        <v>328</v>
      </c>
      <c r="B175" s="418">
        <v>41330</v>
      </c>
      <c r="C175" s="55">
        <v>41330.525694444441</v>
      </c>
      <c r="D175" s="419">
        <v>30228024</v>
      </c>
      <c r="E175" s="420" t="s">
        <v>805</v>
      </c>
      <c r="F175" s="47" t="b">
        <v>1</v>
      </c>
      <c r="H175" s="420" t="s">
        <v>441</v>
      </c>
      <c r="I175" s="421" t="s">
        <v>806</v>
      </c>
      <c r="J175" s="255">
        <v>61.747945205479454</v>
      </c>
      <c r="K175" s="181">
        <v>740.89414858645625</v>
      </c>
      <c r="L175" s="420" t="s">
        <v>493</v>
      </c>
      <c r="M175" s="422" t="s">
        <v>807</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425">
        <v>0</v>
      </c>
      <c r="AK175" s="323">
        <f t="shared" si="4"/>
        <v>0</v>
      </c>
      <c r="AL175" s="422"/>
      <c r="AM175" s="426">
        <v>41293</v>
      </c>
      <c r="AN175" s="423" t="s">
        <v>1937</v>
      </c>
      <c r="AO175" s="54">
        <v>41359</v>
      </c>
      <c r="AP175" s="420" t="s">
        <v>1933</v>
      </c>
      <c r="AQ175" s="426">
        <v>41293</v>
      </c>
      <c r="AR175" s="423">
        <v>1</v>
      </c>
      <c r="AS175" s="423" t="s">
        <v>1913</v>
      </c>
      <c r="AT175" s="425">
        <v>0</v>
      </c>
      <c r="AU175" s="423">
        <v>0</v>
      </c>
      <c r="AV175" s="423">
        <v>0</v>
      </c>
      <c r="AW175" s="423">
        <v>1</v>
      </c>
      <c r="AX175" s="423" t="s">
        <v>808</v>
      </c>
      <c r="AY175" s="70"/>
      <c r="AZ175" s="70" t="s">
        <v>1537</v>
      </c>
      <c r="BA175" s="47">
        <v>0</v>
      </c>
      <c r="BB175" s="69">
        <v>1</v>
      </c>
      <c r="BC175" s="69"/>
      <c r="BD175" s="69">
        <v>0</v>
      </c>
      <c r="BE175" s="69">
        <v>1</v>
      </c>
      <c r="BF175" s="234">
        <v>0</v>
      </c>
      <c r="BG175" s="766">
        <v>1</v>
      </c>
      <c r="BH175" s="766" t="s">
        <v>2004</v>
      </c>
      <c r="BI175" s="223">
        <v>0</v>
      </c>
      <c r="BJ175" s="70"/>
      <c r="BK175" s="70">
        <v>0</v>
      </c>
      <c r="BL175" s="70"/>
      <c r="BM175" s="70">
        <v>0</v>
      </c>
      <c r="BN175" s="70"/>
      <c r="BO175" s="70">
        <v>0</v>
      </c>
      <c r="BP175" s="70">
        <v>0</v>
      </c>
      <c r="BQ175" s="70">
        <v>0</v>
      </c>
      <c r="BR175" s="70">
        <v>0</v>
      </c>
      <c r="BS175" s="240">
        <v>0</v>
      </c>
      <c r="BT175" s="223">
        <v>1</v>
      </c>
      <c r="BU175" s="70" t="s">
        <v>1938</v>
      </c>
      <c r="BV175" s="70">
        <v>0</v>
      </c>
      <c r="BW175" s="70">
        <v>0</v>
      </c>
      <c r="BX175" s="70">
        <v>0</v>
      </c>
      <c r="BY175" s="70"/>
      <c r="BZ175" s="70"/>
      <c r="CA175" s="70"/>
      <c r="CB175" s="70">
        <v>0</v>
      </c>
      <c r="CC175" s="70">
        <v>0</v>
      </c>
      <c r="CD175" s="70">
        <v>0</v>
      </c>
      <c r="CE175" s="70"/>
      <c r="CF175" s="70"/>
      <c r="CG175" s="70"/>
      <c r="CH175" s="70">
        <v>0</v>
      </c>
      <c r="CI175" s="70"/>
      <c r="CJ175" s="70">
        <v>0</v>
      </c>
      <c r="CK175" s="70">
        <v>0</v>
      </c>
      <c r="CL175" s="70">
        <v>0</v>
      </c>
      <c r="CM175" s="47">
        <v>116</v>
      </c>
      <c r="CN175" s="47">
        <v>92</v>
      </c>
      <c r="CP175" s="504">
        <v>28.7</v>
      </c>
      <c r="CQ175" s="504">
        <v>29.5</v>
      </c>
      <c r="CR175" s="418">
        <v>41309</v>
      </c>
      <c r="CS175" s="418">
        <v>41361</v>
      </c>
      <c r="CT175" s="78">
        <v>31</v>
      </c>
      <c r="CU175" s="79">
        <v>42269</v>
      </c>
      <c r="CV175" s="427">
        <v>0</v>
      </c>
      <c r="CW175" s="418"/>
      <c r="CX175" s="427">
        <v>0</v>
      </c>
      <c r="CY175" s="427">
        <v>0</v>
      </c>
      <c r="CZ175" s="427">
        <v>0</v>
      </c>
      <c r="DA175" s="418"/>
      <c r="DB175" s="427">
        <v>0</v>
      </c>
      <c r="DC175" s="418"/>
      <c r="DD175" s="427">
        <v>0</v>
      </c>
      <c r="DE175" s="418"/>
      <c r="DF175" s="427">
        <v>0</v>
      </c>
      <c r="DG175" s="418"/>
      <c r="DH175" s="418"/>
      <c r="DI175" s="70"/>
      <c r="DJ175" s="70">
        <v>0</v>
      </c>
      <c r="DK175" s="255"/>
      <c r="DL175" s="70"/>
      <c r="DM175" s="70"/>
      <c r="DN175" s="70"/>
      <c r="DO175" s="70"/>
      <c r="DP175" s="70"/>
      <c r="DQ175" s="70"/>
      <c r="DR175" s="70"/>
      <c r="DS175" s="70"/>
      <c r="DT175" s="70"/>
      <c r="DU175" s="70"/>
      <c r="DV175" s="70"/>
      <c r="DW175" s="70"/>
      <c r="DX175" s="70"/>
      <c r="DY175" s="70"/>
      <c r="DZ175" s="70"/>
      <c r="EA175" s="70"/>
      <c r="EB175" s="70"/>
      <c r="EC175" s="70"/>
      <c r="ED175" s="70"/>
      <c r="EE175" s="70"/>
      <c r="EF175" s="70"/>
      <c r="EG175" s="70"/>
      <c r="EH175" s="70"/>
      <c r="EI175" s="70"/>
    </row>
    <row r="176" spans="1:139" s="47" customFormat="1" ht="39.75" customHeight="1">
      <c r="A176" s="50">
        <v>330</v>
      </c>
      <c r="B176" s="418">
        <v>41313</v>
      </c>
      <c r="C176" s="55">
        <v>41313.333333333336</v>
      </c>
      <c r="D176" s="419">
        <v>17288887</v>
      </c>
      <c r="E176" s="420" t="s">
        <v>809</v>
      </c>
      <c r="F176" s="47" t="b">
        <v>1</v>
      </c>
      <c r="H176" s="420" t="s">
        <v>418</v>
      </c>
      <c r="I176" s="421" t="s">
        <v>810</v>
      </c>
      <c r="J176" s="255">
        <v>56.405479452054792</v>
      </c>
      <c r="K176" s="181">
        <v>676.79158448389217</v>
      </c>
      <c r="L176" s="420" t="s">
        <v>419</v>
      </c>
      <c r="M176" s="422" t="s">
        <v>811</v>
      </c>
      <c r="N176" s="47">
        <v>160.1</v>
      </c>
      <c r="O176" s="47">
        <v>73.8</v>
      </c>
      <c r="P176" s="47">
        <f t="shared" si="5"/>
        <v>28.792123598578495</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425">
        <v>0</v>
      </c>
      <c r="AK176" s="323">
        <f t="shared" si="4"/>
        <v>1</v>
      </c>
      <c r="AL176" s="422" t="s">
        <v>1941</v>
      </c>
      <c r="AM176" s="426">
        <v>41307</v>
      </c>
      <c r="AN176" s="423" t="s">
        <v>1865</v>
      </c>
      <c r="AO176" s="54">
        <v>41335</v>
      </c>
      <c r="AP176" s="420" t="s">
        <v>1939</v>
      </c>
      <c r="AQ176" s="426">
        <v>41305</v>
      </c>
      <c r="AR176" s="423">
        <v>0</v>
      </c>
      <c r="AS176" s="423"/>
      <c r="AT176" s="425">
        <v>0</v>
      </c>
      <c r="AU176" s="423">
        <v>0</v>
      </c>
      <c r="AV176" s="423">
        <v>0</v>
      </c>
      <c r="AW176" s="423">
        <v>1</v>
      </c>
      <c r="AX176" s="420" t="s">
        <v>812</v>
      </c>
      <c r="AY176" s="70"/>
      <c r="AZ176" s="70" t="s">
        <v>1940</v>
      </c>
      <c r="BA176" s="47">
        <v>0</v>
      </c>
      <c r="BB176" s="69">
        <v>1</v>
      </c>
      <c r="BC176" s="69"/>
      <c r="BD176" s="69">
        <v>0</v>
      </c>
      <c r="BE176" s="69">
        <v>1</v>
      </c>
      <c r="BF176" s="234">
        <v>0</v>
      </c>
      <c r="BG176" s="766">
        <v>1</v>
      </c>
      <c r="BH176" s="766" t="s">
        <v>2004</v>
      </c>
      <c r="BI176" s="223">
        <v>0</v>
      </c>
      <c r="BJ176" s="70"/>
      <c r="BK176" s="70">
        <v>0</v>
      </c>
      <c r="BL176" s="70"/>
      <c r="BM176" s="70">
        <v>0</v>
      </c>
      <c r="BN176" s="70"/>
      <c r="BO176" s="70">
        <v>0</v>
      </c>
      <c r="BP176" s="70">
        <v>0</v>
      </c>
      <c r="BQ176" s="70">
        <v>0</v>
      </c>
      <c r="BR176" s="70">
        <v>0</v>
      </c>
      <c r="BS176" s="240">
        <v>0</v>
      </c>
      <c r="BT176" s="223">
        <v>1</v>
      </c>
      <c r="BU176" s="70" t="s">
        <v>1942</v>
      </c>
      <c r="BV176" s="70">
        <v>0</v>
      </c>
      <c r="BW176" s="70">
        <v>0</v>
      </c>
      <c r="BX176" s="70">
        <v>0</v>
      </c>
      <c r="BY176" s="70"/>
      <c r="BZ176" s="70"/>
      <c r="CA176" s="70"/>
      <c r="CB176" s="70">
        <v>0</v>
      </c>
      <c r="CC176" s="70">
        <v>0</v>
      </c>
      <c r="CD176" s="70">
        <v>0</v>
      </c>
      <c r="CE176" s="70"/>
      <c r="CF176" s="70"/>
      <c r="CG176" s="70"/>
      <c r="CH176" s="70">
        <v>0</v>
      </c>
      <c r="CI176" s="70"/>
      <c r="CJ176" s="70">
        <v>0</v>
      </c>
      <c r="CK176" s="70">
        <v>0</v>
      </c>
      <c r="CL176" s="70">
        <v>0</v>
      </c>
      <c r="CM176" s="47">
        <v>138</v>
      </c>
      <c r="CN176" s="47">
        <v>108</v>
      </c>
      <c r="CP176" s="504">
        <v>29.5</v>
      </c>
      <c r="CQ176" s="504">
        <v>30.5</v>
      </c>
      <c r="CR176" s="418">
        <v>41306</v>
      </c>
      <c r="CS176" s="418">
        <v>41330</v>
      </c>
      <c r="CT176" s="78">
        <v>17</v>
      </c>
      <c r="CU176" s="79">
        <v>43346</v>
      </c>
      <c r="CV176" s="427">
        <v>0</v>
      </c>
      <c r="CW176" s="418"/>
      <c r="CX176" s="427">
        <v>0</v>
      </c>
      <c r="CY176" s="427">
        <v>0</v>
      </c>
      <c r="CZ176" s="427">
        <v>0</v>
      </c>
      <c r="DA176" s="418"/>
      <c r="DB176" s="427">
        <v>0</v>
      </c>
      <c r="DC176" s="418"/>
      <c r="DD176" s="427">
        <v>0</v>
      </c>
      <c r="DE176" s="418"/>
      <c r="DF176" s="427">
        <v>0</v>
      </c>
      <c r="DG176" s="418"/>
      <c r="DH176" s="418"/>
      <c r="DI176" s="70"/>
      <c r="DJ176" s="70">
        <v>0</v>
      </c>
      <c r="DK176" s="255"/>
      <c r="DL176" s="70"/>
      <c r="DM176" s="70"/>
      <c r="DN176" s="70"/>
      <c r="DO176" s="70"/>
      <c r="DP176" s="70"/>
      <c r="DQ176" s="70"/>
      <c r="DR176" s="70"/>
      <c r="DS176" s="70"/>
      <c r="DT176" s="70"/>
      <c r="DU176" s="70"/>
      <c r="DV176" s="70"/>
      <c r="DW176" s="70"/>
      <c r="DX176" s="70"/>
      <c r="DY176" s="70"/>
      <c r="DZ176" s="70"/>
      <c r="EA176" s="70"/>
      <c r="EB176" s="70"/>
      <c r="EC176" s="70"/>
      <c r="ED176" s="70"/>
      <c r="EE176" s="70"/>
      <c r="EF176" s="70"/>
      <c r="EG176" s="70"/>
      <c r="EH176" s="70"/>
      <c r="EI176" s="70"/>
    </row>
    <row r="177" spans="1:139" s="47" customFormat="1" ht="39.75" customHeight="1">
      <c r="A177" s="50">
        <v>331</v>
      </c>
      <c r="B177" s="444">
        <v>41300</v>
      </c>
      <c r="C177" s="55">
        <v>41300.388888888891</v>
      </c>
      <c r="D177" s="445">
        <v>29976990</v>
      </c>
      <c r="E177" s="446" t="s">
        <v>813</v>
      </c>
      <c r="F177" s="47" t="b">
        <v>1</v>
      </c>
      <c r="H177" s="446" t="s">
        <v>441</v>
      </c>
      <c r="I177" s="421" t="s">
        <v>814</v>
      </c>
      <c r="J177" s="255">
        <v>59.717808219178082</v>
      </c>
      <c r="K177" s="181">
        <v>716.53517422748189</v>
      </c>
      <c r="L177" s="447" t="s">
        <v>419</v>
      </c>
      <c r="M177" s="448" t="s">
        <v>815</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452">
        <v>0</v>
      </c>
      <c r="AK177" s="323">
        <f t="shared" si="4"/>
        <v>0</v>
      </c>
      <c r="AL177" s="448"/>
      <c r="AM177" s="449">
        <v>41299</v>
      </c>
      <c r="AN177" s="450" t="s">
        <v>1943</v>
      </c>
      <c r="AO177" s="54">
        <v>41325</v>
      </c>
      <c r="AP177" s="446" t="s">
        <v>1944</v>
      </c>
      <c r="AQ177" s="449">
        <v>41297</v>
      </c>
      <c r="AR177" s="450">
        <v>0</v>
      </c>
      <c r="AS177" s="450"/>
      <c r="AT177" s="452">
        <v>0</v>
      </c>
      <c r="AU177" s="450">
        <v>1</v>
      </c>
      <c r="AV177" s="450">
        <v>0</v>
      </c>
      <c r="AW177" s="450">
        <v>1</v>
      </c>
      <c r="AX177" s="446" t="s">
        <v>816</v>
      </c>
      <c r="AY177" s="70" t="s">
        <v>1916</v>
      </c>
      <c r="AZ177" s="70" t="s">
        <v>1901</v>
      </c>
      <c r="BA177" s="47">
        <v>0</v>
      </c>
      <c r="BB177" s="69">
        <v>1</v>
      </c>
      <c r="BC177" s="69"/>
      <c r="BD177" s="69">
        <v>0</v>
      </c>
      <c r="BE177" s="69">
        <v>0</v>
      </c>
      <c r="BF177" s="234">
        <v>0</v>
      </c>
      <c r="BG177" s="766">
        <v>0</v>
      </c>
      <c r="BH177" s="766"/>
      <c r="BI177" s="223">
        <v>0</v>
      </c>
      <c r="BJ177" s="70"/>
      <c r="BK177" s="70">
        <v>0</v>
      </c>
      <c r="BL177" s="70"/>
      <c r="BM177" s="70">
        <v>0</v>
      </c>
      <c r="BN177" s="70"/>
      <c r="BO177" s="70">
        <v>0</v>
      </c>
      <c r="BP177" s="70">
        <v>0</v>
      </c>
      <c r="BQ177" s="70">
        <v>0</v>
      </c>
      <c r="BR177" s="70">
        <v>0</v>
      </c>
      <c r="BS177" s="240">
        <v>0</v>
      </c>
      <c r="BT177" s="223">
        <v>1</v>
      </c>
      <c r="BU177" s="70" t="s">
        <v>1945</v>
      </c>
      <c r="BV177" s="70">
        <v>0</v>
      </c>
      <c r="BW177" s="70">
        <v>0</v>
      </c>
      <c r="BX177" s="70">
        <v>0</v>
      </c>
      <c r="BY177" s="70"/>
      <c r="BZ177" s="70"/>
      <c r="CA177" s="70"/>
      <c r="CB177" s="70">
        <v>0</v>
      </c>
      <c r="CC177" s="70">
        <v>0</v>
      </c>
      <c r="CD177" s="70">
        <v>0</v>
      </c>
      <c r="CE177" s="70"/>
      <c r="CF177" s="70"/>
      <c r="CG177" s="70"/>
      <c r="CH177" s="70">
        <v>0</v>
      </c>
      <c r="CI177" s="70"/>
      <c r="CJ177" s="70">
        <v>0</v>
      </c>
      <c r="CK177" s="70">
        <v>0</v>
      </c>
      <c r="CL177" s="70">
        <v>0</v>
      </c>
      <c r="CM177" s="47">
        <v>90</v>
      </c>
      <c r="CN177" s="47">
        <v>65</v>
      </c>
      <c r="CP177" s="504">
        <v>29.4</v>
      </c>
      <c r="CQ177" s="504">
        <v>29.8</v>
      </c>
      <c r="CR177" s="453">
        <v>41299</v>
      </c>
      <c r="CS177" s="453">
        <v>41323</v>
      </c>
      <c r="CT177" s="78">
        <v>23</v>
      </c>
      <c r="CU177" s="79">
        <v>44320</v>
      </c>
      <c r="CV177" s="454">
        <v>0</v>
      </c>
      <c r="CW177" s="453"/>
      <c r="CX177" s="454">
        <v>0</v>
      </c>
      <c r="CY177" s="454">
        <v>0</v>
      </c>
      <c r="CZ177" s="454">
        <v>0</v>
      </c>
      <c r="DA177" s="453"/>
      <c r="DB177" s="454">
        <v>0</v>
      </c>
      <c r="DC177" s="453"/>
      <c r="DD177" s="454">
        <v>0</v>
      </c>
      <c r="DE177" s="453"/>
      <c r="DF177" s="454">
        <v>0</v>
      </c>
      <c r="DG177" s="453"/>
      <c r="DH177" s="453"/>
      <c r="DI177" s="70"/>
      <c r="DJ177" s="70">
        <v>0</v>
      </c>
      <c r="DK177" s="255"/>
      <c r="DL177" s="70"/>
      <c r="DM177" s="70"/>
      <c r="DN177" s="70"/>
      <c r="DO177" s="70"/>
      <c r="DP177" s="70"/>
      <c r="DQ177" s="70"/>
      <c r="DR177" s="70"/>
      <c r="DS177" s="70"/>
      <c r="DT177" s="70"/>
      <c r="DU177" s="70"/>
      <c r="DV177" s="70"/>
      <c r="DW177" s="70"/>
      <c r="DX177" s="70"/>
      <c r="DY177" s="70"/>
      <c r="DZ177" s="70"/>
      <c r="EA177" s="70"/>
      <c r="EB177" s="70"/>
      <c r="EC177" s="70"/>
      <c r="ED177" s="70"/>
      <c r="EE177" s="70"/>
      <c r="EF177" s="70"/>
      <c r="EG177" s="70"/>
      <c r="EH177" s="70"/>
      <c r="EI177" s="70"/>
    </row>
    <row r="178" spans="1:139" s="47" customFormat="1" ht="39.75" customHeight="1">
      <c r="A178" s="50">
        <v>334</v>
      </c>
      <c r="B178" s="455">
        <v>41237</v>
      </c>
      <c r="C178" s="55">
        <v>41237.543055555558</v>
      </c>
      <c r="D178" s="456">
        <v>2975884</v>
      </c>
      <c r="E178" s="457" t="s">
        <v>817</v>
      </c>
      <c r="F178" s="47" t="b">
        <v>1</v>
      </c>
      <c r="H178" s="457" t="s">
        <v>441</v>
      </c>
      <c r="I178" s="457" t="s">
        <v>818</v>
      </c>
      <c r="J178" s="255">
        <v>81.843835616438355</v>
      </c>
      <c r="K178" s="181">
        <v>982.01840894148586</v>
      </c>
      <c r="L178" s="457" t="s">
        <v>419</v>
      </c>
      <c r="M178" s="458" t="s">
        <v>819</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461">
        <v>1</v>
      </c>
      <c r="AK178" s="323">
        <f t="shared" si="4"/>
        <v>0</v>
      </c>
      <c r="AL178" s="458" t="s">
        <v>1946</v>
      </c>
      <c r="AM178" s="462">
        <v>41236</v>
      </c>
      <c r="AN178" s="459" t="s">
        <v>1710</v>
      </c>
      <c r="AO178" s="54">
        <v>41279</v>
      </c>
      <c r="AP178" s="457" t="s">
        <v>1947</v>
      </c>
      <c r="AQ178" s="462">
        <v>41235</v>
      </c>
      <c r="AR178" s="459" t="s">
        <v>1948</v>
      </c>
      <c r="AS178" s="459"/>
      <c r="AT178" s="461">
        <v>0</v>
      </c>
      <c r="AU178" s="459">
        <v>0</v>
      </c>
      <c r="AV178" s="459">
        <v>0</v>
      </c>
      <c r="AW178" s="459" t="s">
        <v>1949</v>
      </c>
      <c r="AX178" s="457" t="s">
        <v>820</v>
      </c>
      <c r="AY178" s="70"/>
      <c r="AZ178" s="70" t="s">
        <v>1940</v>
      </c>
      <c r="BA178" s="47">
        <v>0</v>
      </c>
      <c r="BB178" s="69">
        <v>1</v>
      </c>
      <c r="BC178" s="69"/>
      <c r="BD178" s="69">
        <v>0</v>
      </c>
      <c r="BE178" s="69">
        <v>0</v>
      </c>
      <c r="BF178" s="234">
        <v>1</v>
      </c>
      <c r="BG178" s="766">
        <v>0</v>
      </c>
      <c r="BH178" s="766"/>
      <c r="BI178" s="223">
        <v>0</v>
      </c>
      <c r="BJ178" s="70"/>
      <c r="BK178" s="70">
        <v>0</v>
      </c>
      <c r="BL178" s="70"/>
      <c r="BM178" s="70">
        <v>0</v>
      </c>
      <c r="BN178" s="70"/>
      <c r="BO178" s="70">
        <v>0</v>
      </c>
      <c r="BP178" s="70">
        <v>0</v>
      </c>
      <c r="BQ178" s="70">
        <v>0</v>
      </c>
      <c r="BR178" s="70">
        <v>0</v>
      </c>
      <c r="BS178" s="240">
        <v>0</v>
      </c>
      <c r="BT178" s="463">
        <v>1</v>
      </c>
      <c r="BU178" s="464" t="s">
        <v>1950</v>
      </c>
      <c r="BV178" s="464">
        <v>0</v>
      </c>
      <c r="BW178" s="464">
        <v>0</v>
      </c>
      <c r="BX178" s="70">
        <v>0</v>
      </c>
      <c r="BY178" s="70"/>
      <c r="BZ178" s="70"/>
      <c r="CA178" s="70"/>
      <c r="CB178" s="70">
        <v>0</v>
      </c>
      <c r="CC178" s="70">
        <v>0</v>
      </c>
      <c r="CD178" s="70">
        <v>0</v>
      </c>
      <c r="CE178" s="70"/>
      <c r="CF178" s="70"/>
      <c r="CG178" s="70"/>
      <c r="CH178" s="70">
        <v>0</v>
      </c>
      <c r="CI178" s="70"/>
      <c r="CJ178" s="70">
        <v>0</v>
      </c>
      <c r="CK178" s="70">
        <v>0</v>
      </c>
      <c r="CL178" s="70">
        <v>0</v>
      </c>
      <c r="CM178" s="47">
        <v>142</v>
      </c>
      <c r="CN178" s="47">
        <v>108</v>
      </c>
      <c r="CP178" s="504">
        <v>27.3</v>
      </c>
      <c r="CQ178" s="504">
        <v>29.3</v>
      </c>
      <c r="CR178" s="455">
        <v>41235.613888888889</v>
      </c>
      <c r="CS178" s="455">
        <v>41279</v>
      </c>
      <c r="CT178" s="78">
        <v>42</v>
      </c>
      <c r="CU178" s="79">
        <v>44019</v>
      </c>
      <c r="CV178" s="465">
        <v>0</v>
      </c>
      <c r="CW178" s="455"/>
      <c r="CX178" s="465">
        <v>0</v>
      </c>
      <c r="CY178" s="465">
        <v>0</v>
      </c>
      <c r="CZ178" s="465">
        <v>0</v>
      </c>
      <c r="DA178" s="455"/>
      <c r="DB178" s="465">
        <v>0</v>
      </c>
      <c r="DC178" s="455"/>
      <c r="DD178" s="465">
        <v>0</v>
      </c>
      <c r="DE178" s="455"/>
      <c r="DF178" s="465">
        <v>0</v>
      </c>
      <c r="DG178" s="455"/>
      <c r="DH178" s="455"/>
      <c r="DI178" s="70"/>
      <c r="DJ178" s="70">
        <v>0</v>
      </c>
      <c r="DK178" s="70"/>
      <c r="DL178" s="70"/>
      <c r="DM178" s="70"/>
      <c r="DN178" s="306"/>
      <c r="DO178" s="301" t="s">
        <v>821</v>
      </c>
      <c r="DP178" s="70"/>
      <c r="DQ178" s="70"/>
      <c r="DR178" s="70"/>
      <c r="DS178" s="70"/>
      <c r="DT178" s="70"/>
      <c r="DU178" s="70"/>
      <c r="DV178" s="70"/>
      <c r="DW178" s="70"/>
      <c r="DX178" s="70"/>
      <c r="DY178" s="70"/>
      <c r="DZ178" s="70"/>
      <c r="EA178" s="70"/>
      <c r="EB178" s="70"/>
      <c r="EC178" s="70"/>
      <c r="ED178" s="70"/>
      <c r="EE178" s="70"/>
      <c r="EF178" s="70"/>
      <c r="EG178" s="70"/>
      <c r="EH178" s="70"/>
      <c r="EI178" s="70"/>
    </row>
    <row r="179" spans="1:139" s="47" customFormat="1" ht="39.75" customHeight="1">
      <c r="A179" s="50">
        <v>335</v>
      </c>
      <c r="B179" s="455">
        <v>41232</v>
      </c>
      <c r="C179" s="55">
        <v>41232.29583333333</v>
      </c>
      <c r="D179" s="456">
        <v>17356160</v>
      </c>
      <c r="E179" s="457" t="s">
        <v>822</v>
      </c>
      <c r="F179" s="47" t="b">
        <v>1</v>
      </c>
      <c r="H179" s="457" t="s">
        <v>418</v>
      </c>
      <c r="I179" s="457" t="s">
        <v>823</v>
      </c>
      <c r="J179" s="255">
        <v>67.372602739726034</v>
      </c>
      <c r="K179" s="181">
        <v>808.38264299802756</v>
      </c>
      <c r="L179" s="457" t="s">
        <v>493</v>
      </c>
      <c r="M179" s="458" t="s">
        <v>824</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v>0</v>
      </c>
      <c r="AK179" s="323">
        <f t="shared" si="4"/>
        <v>0</v>
      </c>
      <c r="AL179" s="186"/>
      <c r="AM179" s="58">
        <v>41223</v>
      </c>
      <c r="AN179" s="52" t="s">
        <v>1903</v>
      </c>
      <c r="AO179" s="54">
        <v>41255</v>
      </c>
      <c r="AP179" s="50" t="s">
        <v>152</v>
      </c>
      <c r="AQ179" s="58">
        <v>41224</v>
      </c>
      <c r="AR179" s="52">
        <v>0</v>
      </c>
      <c r="AS179" s="52"/>
      <c r="AT179" s="323">
        <v>0</v>
      </c>
      <c r="AU179" s="52">
        <v>1</v>
      </c>
      <c r="AV179" s="52">
        <v>0</v>
      </c>
      <c r="AW179" s="52">
        <v>1</v>
      </c>
      <c r="AX179" s="459" t="s">
        <v>825</v>
      </c>
      <c r="AY179" s="70"/>
      <c r="AZ179" s="70" t="s">
        <v>1901</v>
      </c>
      <c r="BA179" s="47">
        <v>0</v>
      </c>
      <c r="BB179" s="69">
        <v>1</v>
      </c>
      <c r="BC179" s="69"/>
      <c r="BD179" s="69">
        <v>0</v>
      </c>
      <c r="BE179" s="69">
        <v>0</v>
      </c>
      <c r="BF179" s="234">
        <v>1</v>
      </c>
      <c r="BG179" s="766">
        <v>0</v>
      </c>
      <c r="BH179" s="766"/>
      <c r="BI179" s="223">
        <v>1</v>
      </c>
      <c r="BJ179" s="70"/>
      <c r="BK179" s="70">
        <v>0</v>
      </c>
      <c r="BL179" s="70"/>
      <c r="BM179" s="70">
        <v>1</v>
      </c>
      <c r="BN179" s="70" t="s">
        <v>1951</v>
      </c>
      <c r="BO179" s="70">
        <v>1</v>
      </c>
      <c r="BP179" s="70">
        <v>0</v>
      </c>
      <c r="BQ179" s="70">
        <v>0</v>
      </c>
      <c r="BR179" s="70">
        <v>0</v>
      </c>
      <c r="BS179" s="467">
        <v>0</v>
      </c>
      <c r="BT179" s="223">
        <v>0</v>
      </c>
      <c r="BU179" s="70"/>
      <c r="BV179" s="70">
        <v>0</v>
      </c>
      <c r="BW179" s="70">
        <v>0</v>
      </c>
      <c r="BX179" s="70">
        <v>0</v>
      </c>
      <c r="BY179" s="70"/>
      <c r="BZ179" s="70"/>
      <c r="CA179" s="70"/>
      <c r="CB179" s="77">
        <v>0</v>
      </c>
      <c r="CC179" s="77">
        <v>0</v>
      </c>
      <c r="CD179" s="77">
        <v>0</v>
      </c>
      <c r="CE179" s="77"/>
      <c r="CF179" s="77"/>
      <c r="CG179" s="70"/>
      <c r="CH179" s="70">
        <v>0</v>
      </c>
      <c r="CI179" s="70"/>
      <c r="CJ179" s="70">
        <v>0</v>
      </c>
      <c r="CK179" s="70">
        <v>0</v>
      </c>
      <c r="CL179" s="70">
        <v>0</v>
      </c>
      <c r="CM179" s="47">
        <v>49</v>
      </c>
      <c r="CN179" s="47">
        <v>37</v>
      </c>
      <c r="CP179" s="504">
        <v>31</v>
      </c>
      <c r="CQ179" s="504">
        <v>33.5</v>
      </c>
      <c r="CR179" s="455">
        <v>41223.51458333333</v>
      </c>
      <c r="CS179" s="455">
        <v>41255</v>
      </c>
      <c r="CT179" s="78">
        <v>23</v>
      </c>
      <c r="CU179" s="79">
        <v>44320</v>
      </c>
      <c r="CV179" s="465">
        <v>0</v>
      </c>
      <c r="CW179" s="455"/>
      <c r="CX179" s="465">
        <v>0</v>
      </c>
      <c r="CY179" s="465">
        <v>0</v>
      </c>
      <c r="CZ179" s="465">
        <v>0</v>
      </c>
      <c r="DA179" s="455"/>
      <c r="DB179" s="465">
        <v>0</v>
      </c>
      <c r="DC179" s="455"/>
      <c r="DD179" s="465">
        <v>0</v>
      </c>
      <c r="DE179" s="455"/>
      <c r="DF179" s="465">
        <v>0</v>
      </c>
      <c r="DG179" s="455"/>
      <c r="DH179" s="455"/>
      <c r="DI179" s="70"/>
      <c r="DJ179" s="70">
        <v>0</v>
      </c>
      <c r="DK179" s="70"/>
      <c r="DL179" s="70"/>
      <c r="DM179" s="70"/>
      <c r="DN179" s="306"/>
      <c r="DO179" s="301" t="s">
        <v>821</v>
      </c>
      <c r="DP179" s="70"/>
      <c r="DQ179" s="70"/>
      <c r="DR179" s="70"/>
      <c r="DS179" s="70"/>
      <c r="DT179" s="70"/>
      <c r="DU179" s="70"/>
      <c r="DV179" s="70"/>
      <c r="DW179" s="70"/>
      <c r="DX179" s="70"/>
      <c r="DY179" s="70"/>
      <c r="DZ179" s="70"/>
      <c r="EA179" s="70"/>
      <c r="EB179" s="70"/>
      <c r="EC179" s="70"/>
      <c r="ED179" s="70"/>
      <c r="EE179" s="70"/>
      <c r="EF179" s="70"/>
      <c r="EG179" s="70"/>
      <c r="EH179" s="70"/>
      <c r="EI179" s="70"/>
    </row>
    <row r="180" spans="1:139" s="47" customFormat="1" ht="39.75" customHeight="1">
      <c r="A180" s="50">
        <v>336</v>
      </c>
      <c r="B180" s="455">
        <v>41222</v>
      </c>
      <c r="C180" s="55">
        <v>41222.334722222222</v>
      </c>
      <c r="D180" s="456">
        <v>29719311</v>
      </c>
      <c r="E180" s="457" t="s">
        <v>826</v>
      </c>
      <c r="F180" s="47" t="b">
        <v>1</v>
      </c>
      <c r="H180" s="457" t="s">
        <v>418</v>
      </c>
      <c r="I180" s="457" t="s">
        <v>827</v>
      </c>
      <c r="J180" s="255">
        <v>21.241095890410961</v>
      </c>
      <c r="K180" s="181">
        <v>254.86522024983563</v>
      </c>
      <c r="L180" s="457" t="s">
        <v>500</v>
      </c>
      <c r="M180" s="458" t="s">
        <v>828</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v>0</v>
      </c>
      <c r="AK180" s="323">
        <f t="shared" si="4"/>
        <v>0</v>
      </c>
      <c r="AL180" s="186" t="s">
        <v>829</v>
      </c>
      <c r="AM180" s="58">
        <v>41220</v>
      </c>
      <c r="AN180" s="52" t="s">
        <v>1952</v>
      </c>
      <c r="AO180" s="54">
        <v>41249</v>
      </c>
      <c r="AP180" s="50" t="s">
        <v>830</v>
      </c>
      <c r="AQ180" s="58">
        <v>41222</v>
      </c>
      <c r="AR180" s="52">
        <v>1</v>
      </c>
      <c r="AS180" s="52" t="s">
        <v>1953</v>
      </c>
      <c r="AT180" s="323">
        <v>0</v>
      </c>
      <c r="AU180" s="52">
        <v>0</v>
      </c>
      <c r="AV180" s="52">
        <v>0</v>
      </c>
      <c r="AW180" s="52">
        <v>1</v>
      </c>
      <c r="AX180" s="459" t="s">
        <v>831</v>
      </c>
      <c r="AY180" s="70"/>
      <c r="AZ180" s="70" t="s">
        <v>1954</v>
      </c>
      <c r="BA180" s="47">
        <v>0</v>
      </c>
      <c r="BB180" s="69">
        <v>1</v>
      </c>
      <c r="BC180" s="69">
        <v>8</v>
      </c>
      <c r="BD180" s="69">
        <v>0</v>
      </c>
      <c r="BE180" s="69">
        <v>0</v>
      </c>
      <c r="BF180" s="234">
        <v>0</v>
      </c>
      <c r="BG180" s="766">
        <v>0</v>
      </c>
      <c r="BH180" s="766"/>
      <c r="BI180" s="223">
        <v>1</v>
      </c>
      <c r="BJ180" s="70"/>
      <c r="BK180" s="70">
        <v>1</v>
      </c>
      <c r="BL180" s="70" t="s">
        <v>1955</v>
      </c>
      <c r="BM180" s="70">
        <v>1</v>
      </c>
      <c r="BN180" s="70" t="s">
        <v>1956</v>
      </c>
      <c r="BO180" s="70">
        <v>0</v>
      </c>
      <c r="BP180" s="70">
        <v>0</v>
      </c>
      <c r="BQ180" s="70">
        <v>0</v>
      </c>
      <c r="BR180" s="70">
        <v>1</v>
      </c>
      <c r="BS180" s="467">
        <v>0</v>
      </c>
      <c r="BT180" s="223">
        <v>0</v>
      </c>
      <c r="BU180" s="70"/>
      <c r="BV180" s="70">
        <v>0</v>
      </c>
      <c r="BW180" s="70">
        <v>0</v>
      </c>
      <c r="BX180" s="70">
        <v>0</v>
      </c>
      <c r="BY180" s="70"/>
      <c r="BZ180" s="70"/>
      <c r="CA180" s="70"/>
      <c r="CB180" s="77">
        <v>0</v>
      </c>
      <c r="CC180" s="77">
        <v>0</v>
      </c>
      <c r="CD180" s="77">
        <v>0</v>
      </c>
      <c r="CE180" s="77"/>
      <c r="CF180" s="77"/>
      <c r="CG180" s="70"/>
      <c r="CH180" s="70">
        <v>0</v>
      </c>
      <c r="CI180" s="70"/>
      <c r="CJ180" s="70">
        <v>0</v>
      </c>
      <c r="CK180" s="70">
        <v>0</v>
      </c>
      <c r="CL180" s="70">
        <v>0</v>
      </c>
      <c r="CM180" s="47">
        <v>89</v>
      </c>
      <c r="CN180" s="47">
        <v>63</v>
      </c>
      <c r="CP180" s="504">
        <v>31.5</v>
      </c>
      <c r="CQ180" s="504">
        <v>32.5</v>
      </c>
      <c r="CR180" s="455">
        <v>41212.714583333334</v>
      </c>
      <c r="CS180" s="455">
        <v>41250</v>
      </c>
      <c r="CT180" s="78">
        <v>28</v>
      </c>
      <c r="CU180" s="79">
        <v>43650</v>
      </c>
      <c r="CV180" s="465">
        <v>0</v>
      </c>
      <c r="CW180" s="455"/>
      <c r="CX180" s="465">
        <v>0</v>
      </c>
      <c r="CY180" s="465">
        <v>0</v>
      </c>
      <c r="CZ180" s="465">
        <v>0</v>
      </c>
      <c r="DA180" s="455"/>
      <c r="DB180" s="465">
        <v>0</v>
      </c>
      <c r="DC180" s="455"/>
      <c r="DD180" s="465">
        <v>0</v>
      </c>
      <c r="DE180" s="455"/>
      <c r="DF180" s="465">
        <v>0</v>
      </c>
      <c r="DG180" s="455"/>
      <c r="DH180" s="455"/>
      <c r="DI180" s="70"/>
      <c r="DJ180" s="70">
        <v>0</v>
      </c>
      <c r="DK180" s="70"/>
      <c r="DL180" s="70"/>
      <c r="DM180" s="70"/>
      <c r="DN180" s="306"/>
      <c r="DO180" s="301" t="s">
        <v>821</v>
      </c>
      <c r="DP180" s="70"/>
      <c r="DQ180" s="70"/>
      <c r="DR180" s="70"/>
      <c r="DS180" s="70"/>
      <c r="DT180" s="70"/>
      <c r="DU180" s="70"/>
      <c r="DV180" s="70"/>
      <c r="DW180" s="70"/>
      <c r="DX180" s="70"/>
      <c r="DY180" s="70"/>
      <c r="DZ180" s="70"/>
      <c r="EA180" s="70"/>
      <c r="EB180" s="70"/>
      <c r="EC180" s="70"/>
      <c r="ED180" s="70"/>
      <c r="EE180" s="70"/>
      <c r="EF180" s="70"/>
      <c r="EG180" s="70"/>
      <c r="EH180" s="70"/>
      <c r="EI180" s="70"/>
    </row>
    <row r="181" spans="1:139" s="47" customFormat="1" ht="39.75" customHeight="1">
      <c r="A181" s="50">
        <v>337</v>
      </c>
      <c r="B181" s="455">
        <v>41215</v>
      </c>
      <c r="C181" s="55">
        <v>41215.474999999999</v>
      </c>
      <c r="D181" s="456">
        <v>29743932</v>
      </c>
      <c r="E181" s="457" t="s">
        <v>832</v>
      </c>
      <c r="F181" s="47" t="b">
        <v>1</v>
      </c>
      <c r="H181" s="457" t="s">
        <v>418</v>
      </c>
      <c r="I181" s="457" t="s">
        <v>833</v>
      </c>
      <c r="J181" s="255">
        <v>25.61917808219178</v>
      </c>
      <c r="K181" s="181">
        <v>307.39644970414201</v>
      </c>
      <c r="L181" s="457" t="s">
        <v>493</v>
      </c>
      <c r="M181" s="458" t="s">
        <v>834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v>0</v>
      </c>
      <c r="AK181" s="323">
        <f t="shared" si="4"/>
        <v>0</v>
      </c>
      <c r="AL181" s="186"/>
      <c r="AM181" s="58">
        <v>41212</v>
      </c>
      <c r="AN181" s="459" t="s">
        <v>1710</v>
      </c>
      <c r="AO181" s="54">
        <v>41242</v>
      </c>
      <c r="AP181" s="50" t="s">
        <v>152</v>
      </c>
      <c r="AQ181" s="58">
        <v>41211</v>
      </c>
      <c r="AR181" s="52">
        <v>1</v>
      </c>
      <c r="AS181" s="52" t="s">
        <v>835</v>
      </c>
      <c r="AT181" s="323">
        <v>0</v>
      </c>
      <c r="AU181" s="52">
        <v>0</v>
      </c>
      <c r="AV181" s="52">
        <v>0</v>
      </c>
      <c r="AW181" s="52">
        <v>1</v>
      </c>
      <c r="AX181" s="459" t="s">
        <v>836</v>
      </c>
      <c r="AY181" s="70"/>
      <c r="AZ181" s="70"/>
      <c r="BA181" s="47">
        <v>0</v>
      </c>
      <c r="BB181" s="69">
        <v>1</v>
      </c>
      <c r="BC181" s="69"/>
      <c r="BD181" s="69">
        <v>0</v>
      </c>
      <c r="BE181" s="69">
        <v>0</v>
      </c>
      <c r="BF181" s="234">
        <v>0</v>
      </c>
      <c r="BG181" s="766">
        <v>0</v>
      </c>
      <c r="BH181" s="766"/>
      <c r="BI181" s="223">
        <v>1</v>
      </c>
      <c r="BJ181" s="70"/>
      <c r="BK181" s="70">
        <v>0</v>
      </c>
      <c r="BL181" s="70"/>
      <c r="BM181" s="70">
        <v>1</v>
      </c>
      <c r="BN181" s="70" t="s">
        <v>1957</v>
      </c>
      <c r="BO181" s="70">
        <v>0</v>
      </c>
      <c r="BP181" s="70">
        <v>0</v>
      </c>
      <c r="BQ181" s="70">
        <v>1</v>
      </c>
      <c r="BR181" s="70">
        <v>0</v>
      </c>
      <c r="BS181" s="467">
        <v>0</v>
      </c>
      <c r="BT181" s="223">
        <v>0</v>
      </c>
      <c r="BU181" s="70"/>
      <c r="BV181" s="70">
        <v>0</v>
      </c>
      <c r="BW181" s="70">
        <v>0</v>
      </c>
      <c r="BX181" s="70">
        <v>0</v>
      </c>
      <c r="BY181" s="70"/>
      <c r="BZ181" s="70"/>
      <c r="CA181" s="70"/>
      <c r="CB181" s="77">
        <v>0</v>
      </c>
      <c r="CC181" s="77">
        <v>0</v>
      </c>
      <c r="CD181" s="77">
        <v>0</v>
      </c>
      <c r="CE181" s="77"/>
      <c r="CF181" s="77"/>
      <c r="CG181" s="70"/>
      <c r="CH181" s="70">
        <v>0</v>
      </c>
      <c r="CI181" s="70"/>
      <c r="CJ181" s="70">
        <v>0</v>
      </c>
      <c r="CK181" s="70">
        <v>0</v>
      </c>
      <c r="CL181" s="70">
        <v>0</v>
      </c>
      <c r="CM181" s="47">
        <v>54</v>
      </c>
      <c r="CN181" s="47">
        <v>38</v>
      </c>
      <c r="CP181" s="504">
        <v>30.2</v>
      </c>
      <c r="CQ181" s="504">
        <v>32</v>
      </c>
      <c r="CR181" s="455">
        <v>41211.688888888886</v>
      </c>
      <c r="CS181" s="455">
        <v>41242</v>
      </c>
      <c r="CT181" s="78">
        <v>27</v>
      </c>
      <c r="CU181" s="79">
        <v>42710</v>
      </c>
      <c r="CV181" s="465">
        <v>0</v>
      </c>
      <c r="CW181" s="455"/>
      <c r="CX181" s="465">
        <v>0</v>
      </c>
      <c r="CY181" s="465">
        <v>0</v>
      </c>
      <c r="CZ181" s="465">
        <v>0</v>
      </c>
      <c r="DA181" s="455"/>
      <c r="DB181" s="465">
        <v>0</v>
      </c>
      <c r="DC181" s="455"/>
      <c r="DD181" s="465">
        <v>0</v>
      </c>
      <c r="DE181" s="455"/>
      <c r="DF181" s="465">
        <v>0</v>
      </c>
      <c r="DG181" s="455"/>
      <c r="DH181" s="66"/>
      <c r="DI181" s="70"/>
      <c r="DJ181" s="70">
        <v>0</v>
      </c>
      <c r="DK181" s="70"/>
      <c r="DL181" s="70"/>
      <c r="DM181" s="70"/>
      <c r="DN181" s="306"/>
      <c r="DO181" s="301" t="s">
        <v>821</v>
      </c>
      <c r="DP181" s="70"/>
      <c r="DQ181" s="70"/>
      <c r="DR181" s="70"/>
      <c r="DS181" s="70"/>
      <c r="DT181" s="70"/>
      <c r="DU181" s="70"/>
      <c r="DV181" s="70"/>
      <c r="DW181" s="70"/>
      <c r="DX181" s="70"/>
      <c r="DY181" s="70"/>
      <c r="DZ181" s="70"/>
      <c r="EA181" s="70"/>
      <c r="EB181" s="70"/>
      <c r="EC181" s="70"/>
      <c r="ED181" s="70"/>
      <c r="EE181" s="70"/>
      <c r="EF181" s="70"/>
      <c r="EG181" s="70"/>
      <c r="EH181" s="70"/>
      <c r="EI181" s="70"/>
    </row>
    <row r="182" spans="1:139" s="47" customFormat="1" ht="39.75" customHeight="1">
      <c r="A182" s="50">
        <v>338</v>
      </c>
      <c r="B182" s="455">
        <v>41215</v>
      </c>
      <c r="C182" s="55">
        <v>41215.870138888888</v>
      </c>
      <c r="D182" s="456">
        <v>29774619</v>
      </c>
      <c r="E182" s="457" t="s">
        <v>837</v>
      </c>
      <c r="F182" s="47" t="b">
        <v>1</v>
      </c>
      <c r="H182" s="457" t="s">
        <v>418</v>
      </c>
      <c r="I182" s="457" t="s">
        <v>838</v>
      </c>
      <c r="J182" s="255">
        <v>45.857534246575341</v>
      </c>
      <c r="K182" s="181">
        <v>550.23011176857324</v>
      </c>
      <c r="L182" s="457" t="s">
        <v>419</v>
      </c>
      <c r="M182" s="458" t="s">
        <v>839</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461">
        <v>0</v>
      </c>
      <c r="AK182" s="323">
        <f t="shared" si="4"/>
        <v>0</v>
      </c>
      <c r="AL182" s="458"/>
      <c r="AM182" s="462">
        <v>41214</v>
      </c>
      <c r="AN182" s="459" t="s">
        <v>1958</v>
      </c>
      <c r="AO182" s="54">
        <v>41232</v>
      </c>
      <c r="AP182" s="457" t="s">
        <v>1933</v>
      </c>
      <c r="AQ182" s="462">
        <v>41207</v>
      </c>
      <c r="AR182" s="459" t="s">
        <v>1948</v>
      </c>
      <c r="AS182" s="459"/>
      <c r="AT182" s="461">
        <v>0</v>
      </c>
      <c r="AU182" s="459" t="s">
        <v>1949</v>
      </c>
      <c r="AV182" s="459">
        <v>0</v>
      </c>
      <c r="AW182" s="459">
        <v>0</v>
      </c>
      <c r="AX182" s="459" t="s">
        <v>840</v>
      </c>
      <c r="AY182" s="70" t="s">
        <v>1901</v>
      </c>
      <c r="AZ182" s="70"/>
      <c r="BA182" s="47">
        <v>0</v>
      </c>
      <c r="BB182" s="69">
        <v>1</v>
      </c>
      <c r="BC182" s="69">
        <v>30</v>
      </c>
      <c r="BD182" s="69">
        <v>0</v>
      </c>
      <c r="BE182" s="69">
        <v>0</v>
      </c>
      <c r="BF182" s="234">
        <v>0</v>
      </c>
      <c r="BG182" s="766">
        <v>0</v>
      </c>
      <c r="BH182" s="766"/>
      <c r="BI182" s="223">
        <v>0</v>
      </c>
      <c r="BJ182" s="70"/>
      <c r="BK182" s="70">
        <v>0</v>
      </c>
      <c r="BL182" s="70"/>
      <c r="BM182" s="70">
        <v>0</v>
      </c>
      <c r="BN182" s="70"/>
      <c r="BO182" s="70">
        <v>0</v>
      </c>
      <c r="BP182" s="70">
        <v>0</v>
      </c>
      <c r="BQ182" s="70">
        <v>0</v>
      </c>
      <c r="BR182" s="70">
        <v>0</v>
      </c>
      <c r="BS182" s="240">
        <v>0</v>
      </c>
      <c r="BT182" s="223">
        <v>1</v>
      </c>
      <c r="BU182" s="70" t="s">
        <v>1959</v>
      </c>
      <c r="BV182" s="70">
        <v>0</v>
      </c>
      <c r="BW182" s="70">
        <v>0</v>
      </c>
      <c r="BX182" s="70">
        <v>0</v>
      </c>
      <c r="BY182" s="70"/>
      <c r="BZ182" s="70"/>
      <c r="CA182" s="70"/>
      <c r="CB182" s="70">
        <v>0</v>
      </c>
      <c r="CC182" s="70">
        <v>1</v>
      </c>
      <c r="CD182" s="70">
        <v>0</v>
      </c>
      <c r="CE182" s="70"/>
      <c r="CF182" s="70" t="s">
        <v>1916</v>
      </c>
      <c r="CG182" s="70" t="s">
        <v>1960</v>
      </c>
      <c r="CH182" s="70">
        <v>1</v>
      </c>
      <c r="CI182" s="70" t="s">
        <v>1932</v>
      </c>
      <c r="CJ182" s="70">
        <v>0</v>
      </c>
      <c r="CK182" s="70">
        <v>0</v>
      </c>
      <c r="CL182" s="70">
        <v>0</v>
      </c>
      <c r="CP182" s="504"/>
      <c r="CQ182" s="504"/>
      <c r="CR182" s="455">
        <v>41214.956250000003</v>
      </c>
      <c r="CS182" s="455">
        <v>41232</v>
      </c>
      <c r="CT182" s="78">
        <v>17</v>
      </c>
      <c r="CU182" s="79">
        <v>41232</v>
      </c>
      <c r="CV182" s="465">
        <v>1</v>
      </c>
      <c r="CW182" s="79">
        <v>41232</v>
      </c>
      <c r="CX182" s="465">
        <v>1</v>
      </c>
      <c r="CY182" s="465">
        <v>1</v>
      </c>
      <c r="CZ182" s="465">
        <v>0</v>
      </c>
      <c r="DA182" s="455" t="s">
        <v>1965</v>
      </c>
      <c r="DB182" s="465">
        <v>0</v>
      </c>
      <c r="DC182" s="455"/>
      <c r="DD182" s="465">
        <v>0</v>
      </c>
      <c r="DE182" s="455"/>
      <c r="DF182" s="465">
        <v>0</v>
      </c>
      <c r="DG182" s="455"/>
      <c r="DH182" s="455"/>
      <c r="DI182" s="70"/>
      <c r="DJ182" s="70">
        <v>1</v>
      </c>
      <c r="DK182" s="430">
        <v>0.55884286653517423</v>
      </c>
      <c r="DL182" s="70" t="b">
        <v>1</v>
      </c>
      <c r="DM182" s="70"/>
      <c r="DN182" s="299">
        <v>41232</v>
      </c>
      <c r="DO182" s="301" t="s">
        <v>841</v>
      </c>
      <c r="DP182" s="70"/>
      <c r="DQ182" s="70"/>
      <c r="DR182" s="70"/>
      <c r="DS182" s="70"/>
      <c r="DT182" s="70"/>
      <c r="DU182" s="70"/>
      <c r="DV182" s="70"/>
      <c r="DW182" s="70"/>
      <c r="DX182" s="70"/>
      <c r="DY182" s="70"/>
      <c r="DZ182" s="70"/>
      <c r="EA182" s="70"/>
      <c r="EB182" s="70"/>
      <c r="EC182" s="70"/>
      <c r="ED182" s="70"/>
      <c r="EE182" s="70"/>
      <c r="EF182" s="70"/>
      <c r="EG182" s="70"/>
      <c r="EH182" s="70"/>
      <c r="EI182" s="70"/>
    </row>
    <row r="183" spans="1:139" s="47" customFormat="1" ht="39.75" customHeight="1">
      <c r="A183" s="50">
        <v>341</v>
      </c>
      <c r="B183" s="455">
        <v>41186</v>
      </c>
      <c r="C183" s="55">
        <v>41186.999305555553</v>
      </c>
      <c r="D183" s="456">
        <v>29630368</v>
      </c>
      <c r="E183" s="457" t="s">
        <v>842</v>
      </c>
      <c r="F183" s="47" t="b">
        <v>1</v>
      </c>
      <c r="H183" s="457" t="s">
        <v>418</v>
      </c>
      <c r="I183" s="457" t="s">
        <v>843</v>
      </c>
      <c r="J183" s="255">
        <v>63.035616438356165</v>
      </c>
      <c r="K183" s="181">
        <v>756.34451019066398</v>
      </c>
      <c r="L183" s="457" t="s">
        <v>419</v>
      </c>
      <c r="M183" s="458" t="s">
        <v>844</v>
      </c>
      <c r="N183" s="47">
        <v>160</v>
      </c>
      <c r="O183" s="47">
        <v>76.599999999999994</v>
      </c>
      <c r="P183" s="47">
        <f t="shared" si="5"/>
        <v>29.921874999999993</v>
      </c>
      <c r="Q183" s="671">
        <v>41184</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461">
        <v>0</v>
      </c>
      <c r="AK183" s="323">
        <f t="shared" si="4"/>
        <v>1</v>
      </c>
      <c r="AL183" s="458"/>
      <c r="AM183" s="462">
        <v>41186</v>
      </c>
      <c r="AN183" s="459" t="s">
        <v>1961</v>
      </c>
      <c r="AO183" s="54">
        <v>41227</v>
      </c>
      <c r="AP183" s="457" t="s">
        <v>1962</v>
      </c>
      <c r="AQ183" s="462">
        <v>41184</v>
      </c>
      <c r="AR183" s="459" t="s">
        <v>1949</v>
      </c>
      <c r="AS183" s="459" t="s">
        <v>1913</v>
      </c>
      <c r="AT183" s="461">
        <v>0</v>
      </c>
      <c r="AU183" s="459" t="s">
        <v>1949</v>
      </c>
      <c r="AV183" s="459" t="s">
        <v>1948</v>
      </c>
      <c r="AW183" s="459" t="s">
        <v>1949</v>
      </c>
      <c r="AX183" s="459" t="s">
        <v>845</v>
      </c>
      <c r="AY183" s="70"/>
      <c r="AZ183" s="70" t="s">
        <v>1901</v>
      </c>
      <c r="BA183" s="47">
        <v>0</v>
      </c>
      <c r="BB183" s="69">
        <v>1</v>
      </c>
      <c r="BC183" s="69"/>
      <c r="BD183" s="69">
        <v>1</v>
      </c>
      <c r="BE183" s="69">
        <v>0</v>
      </c>
      <c r="BF183" s="234">
        <v>0</v>
      </c>
      <c r="BG183" s="766">
        <v>0</v>
      </c>
      <c r="BH183" s="766"/>
      <c r="BI183" s="223">
        <v>0</v>
      </c>
      <c r="BJ183" s="70"/>
      <c r="BK183" s="70">
        <v>0</v>
      </c>
      <c r="BL183" s="70"/>
      <c r="BM183" s="70">
        <v>0</v>
      </c>
      <c r="BN183" s="70"/>
      <c r="BO183" s="70">
        <v>0</v>
      </c>
      <c r="BP183" s="70">
        <v>0</v>
      </c>
      <c r="BQ183" s="70">
        <v>0</v>
      </c>
      <c r="BR183" s="70">
        <v>0</v>
      </c>
      <c r="BS183" s="240">
        <v>0</v>
      </c>
      <c r="BT183" s="223">
        <v>1</v>
      </c>
      <c r="BU183" s="70" t="s">
        <v>1963</v>
      </c>
      <c r="BV183" s="70">
        <v>0</v>
      </c>
      <c r="BW183" s="70">
        <v>0</v>
      </c>
      <c r="BX183" s="70">
        <v>0</v>
      </c>
      <c r="BY183" s="70"/>
      <c r="BZ183" s="70"/>
      <c r="CA183" s="70"/>
      <c r="CB183" s="70">
        <v>0</v>
      </c>
      <c r="CC183" s="70">
        <v>1</v>
      </c>
      <c r="CD183" s="70">
        <v>0</v>
      </c>
      <c r="CE183" s="70"/>
      <c r="CF183" s="70" t="s">
        <v>1901</v>
      </c>
      <c r="CG183" s="70" t="s">
        <v>1964</v>
      </c>
      <c r="CH183" s="70">
        <v>0</v>
      </c>
      <c r="CI183" s="70"/>
      <c r="CJ183" s="70">
        <v>0</v>
      </c>
      <c r="CK183" s="70">
        <v>0</v>
      </c>
      <c r="CL183" s="70">
        <v>0</v>
      </c>
      <c r="CM183" s="47">
        <v>167</v>
      </c>
      <c r="CN183" s="47">
        <v>114</v>
      </c>
      <c r="CP183" s="504">
        <v>27.6</v>
      </c>
      <c r="CQ183" s="504">
        <v>29.3</v>
      </c>
      <c r="CR183" s="455">
        <v>41186.88958333333</v>
      </c>
      <c r="CS183" s="455">
        <v>41228</v>
      </c>
      <c r="CT183" s="78">
        <v>42</v>
      </c>
      <c r="CU183" s="79">
        <v>41901</v>
      </c>
      <c r="CV183" s="465">
        <v>0</v>
      </c>
      <c r="CW183" s="455"/>
      <c r="CX183" s="465">
        <v>0</v>
      </c>
      <c r="CY183" s="465">
        <v>0</v>
      </c>
      <c r="CZ183" s="465">
        <v>0</v>
      </c>
      <c r="DA183" s="455"/>
      <c r="DB183" s="465">
        <v>0</v>
      </c>
      <c r="DC183" s="455"/>
      <c r="DD183" s="465">
        <v>0</v>
      </c>
      <c r="DE183" s="455"/>
      <c r="DF183" s="465">
        <v>0</v>
      </c>
      <c r="DG183" s="455"/>
      <c r="DH183" s="455"/>
      <c r="DI183" s="70"/>
      <c r="DJ183" s="70">
        <v>0</v>
      </c>
      <c r="DK183" s="70"/>
      <c r="DL183" s="70"/>
      <c r="DM183" s="70"/>
      <c r="DN183" s="306"/>
      <c r="DO183" s="301" t="s">
        <v>821</v>
      </c>
      <c r="DP183" s="70"/>
      <c r="DQ183" s="70"/>
      <c r="DR183" s="70"/>
      <c r="DS183" s="70"/>
      <c r="DT183" s="70"/>
      <c r="DU183" s="70"/>
      <c r="DV183" s="70"/>
      <c r="DW183" s="70"/>
      <c r="DX183" s="70"/>
      <c r="DY183" s="70"/>
      <c r="DZ183" s="70"/>
      <c r="EA183" s="70"/>
      <c r="EB183" s="70"/>
      <c r="EC183" s="70"/>
      <c r="ED183" s="70"/>
      <c r="EE183" s="70"/>
      <c r="EF183" s="70"/>
      <c r="EG183" s="70"/>
      <c r="EH183" s="70"/>
      <c r="EI183" s="70"/>
    </row>
    <row r="184" spans="1:139" s="47" customFormat="1" ht="39.75" customHeight="1">
      <c r="A184" s="50">
        <v>343</v>
      </c>
      <c r="B184" s="455">
        <v>41179</v>
      </c>
      <c r="C184" s="55">
        <v>41179.676388888889</v>
      </c>
      <c r="D184" s="456">
        <v>274042</v>
      </c>
      <c r="E184" s="457" t="s">
        <v>846</v>
      </c>
      <c r="F184" s="47" t="b">
        <v>1</v>
      </c>
      <c r="H184" s="457" t="s">
        <v>441</v>
      </c>
      <c r="I184" s="457" t="s">
        <v>847</v>
      </c>
      <c r="J184" s="255">
        <v>60.756164383561647</v>
      </c>
      <c r="K184" s="181">
        <v>728.99408284023662</v>
      </c>
      <c r="L184" s="457" t="s">
        <v>500</v>
      </c>
      <c r="M184" s="458" t="s">
        <v>848</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v>0</v>
      </c>
      <c r="AK184" s="323">
        <f t="shared" si="4"/>
        <v>0</v>
      </c>
      <c r="AL184" s="186"/>
      <c r="AM184" s="58">
        <v>41178</v>
      </c>
      <c r="AN184" s="52" t="s">
        <v>1966</v>
      </c>
      <c r="AO184" s="54">
        <v>41221</v>
      </c>
      <c r="AP184" s="50" t="s">
        <v>849</v>
      </c>
      <c r="AQ184" s="58">
        <v>41175</v>
      </c>
      <c r="AR184" s="52">
        <v>1</v>
      </c>
      <c r="AS184" s="52" t="s">
        <v>850</v>
      </c>
      <c r="AT184" s="323">
        <v>0</v>
      </c>
      <c r="AU184" s="52">
        <v>0</v>
      </c>
      <c r="AV184" s="52">
        <v>0</v>
      </c>
      <c r="AW184" s="52">
        <v>1</v>
      </c>
      <c r="AX184" s="459" t="s">
        <v>851</v>
      </c>
      <c r="AY184" s="70"/>
      <c r="AZ184" s="70" t="s">
        <v>1925</v>
      </c>
      <c r="BA184" s="47">
        <v>0</v>
      </c>
      <c r="BB184" s="69">
        <v>1</v>
      </c>
      <c r="BC184" s="69"/>
      <c r="BD184" s="69">
        <v>0</v>
      </c>
      <c r="BE184" s="69">
        <v>1</v>
      </c>
      <c r="BF184" s="234">
        <v>0</v>
      </c>
      <c r="BG184" s="766">
        <v>1</v>
      </c>
      <c r="BH184" s="766" t="s">
        <v>2004</v>
      </c>
      <c r="BI184" s="223">
        <v>1</v>
      </c>
      <c r="BJ184" s="70"/>
      <c r="BK184" s="80">
        <v>1</v>
      </c>
      <c r="BL184" s="80" t="s">
        <v>1967</v>
      </c>
      <c r="BM184" s="70">
        <v>1</v>
      </c>
      <c r="BN184" s="70" t="s">
        <v>1968</v>
      </c>
      <c r="BO184" s="70">
        <v>0</v>
      </c>
      <c r="BP184" s="70">
        <v>1</v>
      </c>
      <c r="BQ184" s="70">
        <v>0</v>
      </c>
      <c r="BR184" s="70">
        <v>0</v>
      </c>
      <c r="BS184" s="467">
        <v>0</v>
      </c>
      <c r="BT184" s="223">
        <v>0</v>
      </c>
      <c r="BU184" s="70"/>
      <c r="BV184" s="70">
        <v>0</v>
      </c>
      <c r="BW184" s="70">
        <v>0</v>
      </c>
      <c r="BX184" s="70">
        <v>0</v>
      </c>
      <c r="BY184" s="70"/>
      <c r="BZ184" s="70"/>
      <c r="CA184" s="70"/>
      <c r="CB184" s="77">
        <v>0</v>
      </c>
      <c r="CC184" s="77">
        <v>0</v>
      </c>
      <c r="CD184" s="77">
        <v>0</v>
      </c>
      <c r="CE184" s="77"/>
      <c r="CF184" s="77"/>
      <c r="CG184" s="70"/>
      <c r="CH184" s="70">
        <v>1</v>
      </c>
      <c r="CI184" s="80" t="s">
        <v>2196</v>
      </c>
      <c r="CJ184" s="70">
        <v>0</v>
      </c>
      <c r="CK184" s="70">
        <v>0</v>
      </c>
      <c r="CL184" s="70">
        <v>0</v>
      </c>
      <c r="CM184" s="47">
        <v>183</v>
      </c>
      <c r="CN184" s="47">
        <v>151</v>
      </c>
      <c r="CP184" s="504">
        <v>25.7</v>
      </c>
      <c r="CQ184" s="504">
        <v>26.6</v>
      </c>
      <c r="CR184" s="455">
        <v>41178.806944444441</v>
      </c>
      <c r="CS184" s="455">
        <v>41220</v>
      </c>
      <c r="CT184" s="78">
        <v>41</v>
      </c>
      <c r="CU184" s="455">
        <v>42572</v>
      </c>
      <c r="CV184" s="465">
        <v>1</v>
      </c>
      <c r="CW184" s="455">
        <v>42572</v>
      </c>
      <c r="CX184" s="465">
        <v>0</v>
      </c>
      <c r="CY184" s="465">
        <v>0</v>
      </c>
      <c r="CZ184" s="427">
        <v>1</v>
      </c>
      <c r="DA184" s="455" t="s">
        <v>852</v>
      </c>
      <c r="DB184" s="465">
        <v>0</v>
      </c>
      <c r="DC184" s="455"/>
      <c r="DD184" s="465">
        <v>0</v>
      </c>
      <c r="DE184" s="455"/>
      <c r="DF184" s="465">
        <v>0</v>
      </c>
      <c r="DG184" s="455"/>
      <c r="DH184" s="455"/>
      <c r="DI184" s="70"/>
      <c r="DJ184" s="70">
        <v>1</v>
      </c>
      <c r="DK184" s="430">
        <v>45.792241946088097</v>
      </c>
      <c r="DL184" s="70"/>
      <c r="DM184" s="70"/>
      <c r="DN184" s="299">
        <v>42572</v>
      </c>
      <c r="DO184" s="302" t="s">
        <v>853</v>
      </c>
      <c r="DP184" s="70"/>
      <c r="DQ184" s="70"/>
      <c r="DR184" s="70"/>
      <c r="DS184" s="70"/>
      <c r="DT184" s="70"/>
      <c r="DU184" s="70"/>
      <c r="DV184" s="70"/>
      <c r="DW184" s="70"/>
      <c r="DX184" s="70"/>
      <c r="DY184" s="70"/>
      <c r="DZ184" s="70"/>
      <c r="EA184" s="70"/>
      <c r="EB184" s="70"/>
      <c r="EC184" s="70"/>
      <c r="ED184" s="70"/>
      <c r="EE184" s="70"/>
      <c r="EF184" s="70"/>
      <c r="EG184" s="70"/>
      <c r="EH184" s="70"/>
      <c r="EI184" s="70"/>
    </row>
    <row r="185" spans="1:139" s="47" customFormat="1" ht="39.75" customHeight="1">
      <c r="A185" s="50">
        <v>346</v>
      </c>
      <c r="B185" s="455">
        <v>41156</v>
      </c>
      <c r="C185" s="55">
        <v>41156.291666666664</v>
      </c>
      <c r="D185" s="456">
        <v>29470836</v>
      </c>
      <c r="E185" s="457" t="s">
        <v>854</v>
      </c>
      <c r="F185" s="47" t="b">
        <v>1</v>
      </c>
      <c r="H185" s="457" t="s">
        <v>418</v>
      </c>
      <c r="I185" s="457" t="s">
        <v>855</v>
      </c>
      <c r="J185" s="255">
        <v>43</v>
      </c>
      <c r="K185" s="181">
        <v>515.94345825115056</v>
      </c>
      <c r="L185" s="457" t="s">
        <v>500</v>
      </c>
      <c r="M185" s="458" t="s">
        <v>856</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v>0</v>
      </c>
      <c r="AK185" s="323">
        <f t="shared" si="4"/>
        <v>0</v>
      </c>
      <c r="AL185" s="186"/>
      <c r="AM185" s="58">
        <v>41152</v>
      </c>
      <c r="AN185" s="52" t="s">
        <v>1903</v>
      </c>
      <c r="AO185" s="54">
        <v>41198</v>
      </c>
      <c r="AP185" s="50" t="s">
        <v>152</v>
      </c>
      <c r="AQ185" s="58">
        <v>41152</v>
      </c>
      <c r="AR185" s="52">
        <v>0</v>
      </c>
      <c r="AS185" s="52"/>
      <c r="AT185" s="323">
        <v>0</v>
      </c>
      <c r="AU185" s="52">
        <v>0</v>
      </c>
      <c r="AV185" s="52">
        <v>0</v>
      </c>
      <c r="AW185" s="52">
        <v>1</v>
      </c>
      <c r="AX185" s="459" t="s">
        <v>857</v>
      </c>
      <c r="AY185" s="70"/>
      <c r="AZ185" s="70" t="s">
        <v>1940</v>
      </c>
      <c r="BA185" s="47">
        <v>0</v>
      </c>
      <c r="BB185" s="69">
        <v>1</v>
      </c>
      <c r="BC185" s="69">
        <v>10</v>
      </c>
      <c r="BD185" s="69">
        <v>0</v>
      </c>
      <c r="BE185" s="69">
        <v>0</v>
      </c>
      <c r="BF185" s="234">
        <v>0</v>
      </c>
      <c r="BG185" s="766">
        <v>0</v>
      </c>
      <c r="BH185" s="766"/>
      <c r="BI185" s="223">
        <v>1</v>
      </c>
      <c r="BJ185" s="70"/>
      <c r="BK185" s="70">
        <v>1</v>
      </c>
      <c r="BL185" s="70" t="s">
        <v>1969</v>
      </c>
      <c r="BM185" s="80">
        <v>1</v>
      </c>
      <c r="BN185" s="80" t="s">
        <v>1970</v>
      </c>
      <c r="BO185" s="80">
        <v>0</v>
      </c>
      <c r="BP185" s="80">
        <v>1</v>
      </c>
      <c r="BQ185" s="80">
        <v>1</v>
      </c>
      <c r="BR185" s="80">
        <v>1</v>
      </c>
      <c r="BS185" s="467">
        <v>0</v>
      </c>
      <c r="BT185" s="223">
        <v>0</v>
      </c>
      <c r="BU185" s="70"/>
      <c r="BV185" s="70">
        <v>0</v>
      </c>
      <c r="BW185" s="70">
        <v>0</v>
      </c>
      <c r="BX185" s="70">
        <v>0</v>
      </c>
      <c r="BY185" s="70"/>
      <c r="BZ185" s="70"/>
      <c r="CA185" s="70"/>
      <c r="CB185" s="77">
        <v>0</v>
      </c>
      <c r="CC185" s="77">
        <v>0</v>
      </c>
      <c r="CD185" s="77">
        <v>0</v>
      </c>
      <c r="CE185" s="77"/>
      <c r="CF185" s="77"/>
      <c r="CG185" s="70"/>
      <c r="CH185" s="70">
        <v>0</v>
      </c>
      <c r="CI185" s="70"/>
      <c r="CJ185" s="70">
        <v>0</v>
      </c>
      <c r="CK185" s="70">
        <v>0</v>
      </c>
      <c r="CL185" s="70">
        <v>0</v>
      </c>
      <c r="CM185" s="47">
        <v>134</v>
      </c>
      <c r="CN185" s="47">
        <v>109</v>
      </c>
      <c r="CP185" s="504">
        <v>26.5</v>
      </c>
      <c r="CQ185" s="504">
        <v>28.5</v>
      </c>
      <c r="CR185" s="455">
        <v>41153.875</v>
      </c>
      <c r="CS185" s="455">
        <v>41170</v>
      </c>
      <c r="CT185" s="78">
        <v>14</v>
      </c>
      <c r="CU185" s="79">
        <v>41458</v>
      </c>
      <c r="CV185" s="465">
        <v>0</v>
      </c>
      <c r="CW185" s="455"/>
      <c r="CX185" s="465">
        <v>0</v>
      </c>
      <c r="CY185" s="465">
        <v>0</v>
      </c>
      <c r="CZ185" s="465">
        <v>0</v>
      </c>
      <c r="DA185" s="455"/>
      <c r="DB185" s="465">
        <v>0</v>
      </c>
      <c r="DC185" s="455"/>
      <c r="DD185" s="465">
        <v>0</v>
      </c>
      <c r="DE185" s="455"/>
      <c r="DF185" s="465">
        <v>0</v>
      </c>
      <c r="DG185" s="455"/>
      <c r="DH185" s="455"/>
      <c r="DI185" s="70"/>
      <c r="DJ185" s="70">
        <v>0</v>
      </c>
      <c r="DK185" s="70"/>
      <c r="DL185" s="70"/>
      <c r="DM185" s="70"/>
      <c r="DN185" s="306"/>
      <c r="DO185" s="301" t="s">
        <v>821</v>
      </c>
      <c r="DP185" s="70"/>
      <c r="DQ185" s="70"/>
      <c r="DR185" s="70"/>
      <c r="DS185" s="70"/>
      <c r="DT185" s="70"/>
      <c r="DU185" s="70"/>
      <c r="DV185" s="70"/>
      <c r="DW185" s="70"/>
      <c r="DX185" s="70"/>
      <c r="DY185" s="70"/>
      <c r="DZ185" s="70"/>
      <c r="EA185" s="70"/>
      <c r="EB185" s="70"/>
      <c r="EC185" s="70"/>
      <c r="ED185" s="70"/>
      <c r="EE185" s="70"/>
      <c r="EF185" s="70"/>
      <c r="EG185" s="70"/>
      <c r="EH185" s="70"/>
      <c r="EI185" s="70"/>
    </row>
    <row r="186" spans="1:139" s="47" customFormat="1" ht="39.75" customHeight="1">
      <c r="A186" s="50">
        <v>353</v>
      </c>
      <c r="B186" s="455">
        <v>41124</v>
      </c>
      <c r="C186" s="55">
        <v>41124.541666666664</v>
      </c>
      <c r="D186" s="456">
        <v>29325598</v>
      </c>
      <c r="E186" s="457" t="s">
        <v>858</v>
      </c>
      <c r="F186" s="47" t="b">
        <v>1</v>
      </c>
      <c r="H186" s="457" t="s">
        <v>418</v>
      </c>
      <c r="I186" s="457" t="s">
        <v>859</v>
      </c>
      <c r="J186" s="255">
        <v>78.101369863013701</v>
      </c>
      <c r="K186" s="181">
        <v>937.1137409598947</v>
      </c>
      <c r="L186" s="457" t="s">
        <v>500</v>
      </c>
      <c r="M186" s="458" t="s">
        <v>860</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461">
        <v>0</v>
      </c>
      <c r="AK186" s="323">
        <f t="shared" si="4"/>
        <v>0</v>
      </c>
      <c r="AL186" s="458"/>
      <c r="AM186" s="462">
        <v>41123</v>
      </c>
      <c r="AN186" s="459" t="s">
        <v>1906</v>
      </c>
      <c r="AO186" s="54">
        <v>41131</v>
      </c>
      <c r="AP186" s="457" t="s">
        <v>1972</v>
      </c>
      <c r="AQ186" s="462">
        <v>41122</v>
      </c>
      <c r="AR186" s="459" t="s">
        <v>1948</v>
      </c>
      <c r="AS186" s="459"/>
      <c r="AT186" s="461">
        <v>0</v>
      </c>
      <c r="AU186" s="459">
        <v>0</v>
      </c>
      <c r="AV186" s="459">
        <v>0</v>
      </c>
      <c r="AW186" s="459" t="s">
        <v>1949</v>
      </c>
      <c r="AX186" s="459" t="s">
        <v>861</v>
      </c>
      <c r="AY186" s="70" t="s">
        <v>1940</v>
      </c>
      <c r="AZ186" s="70" t="s">
        <v>1940</v>
      </c>
      <c r="BA186" s="47">
        <v>0</v>
      </c>
      <c r="BB186" s="69">
        <v>1</v>
      </c>
      <c r="BC186" s="69">
        <v>15</v>
      </c>
      <c r="BD186" s="69">
        <v>0</v>
      </c>
      <c r="BE186" s="69">
        <v>0</v>
      </c>
      <c r="BF186" s="234">
        <v>0</v>
      </c>
      <c r="BG186" s="766">
        <v>0</v>
      </c>
      <c r="BH186" s="766"/>
      <c r="BI186" s="223">
        <v>0</v>
      </c>
      <c r="BJ186" s="70"/>
      <c r="BK186" s="70">
        <v>0</v>
      </c>
      <c r="BL186" s="70"/>
      <c r="BM186" s="70">
        <v>0</v>
      </c>
      <c r="BN186" s="70"/>
      <c r="BO186" s="70">
        <v>0</v>
      </c>
      <c r="BP186" s="70">
        <v>0</v>
      </c>
      <c r="BQ186" s="70">
        <v>0</v>
      </c>
      <c r="BR186" s="70">
        <v>0</v>
      </c>
      <c r="BS186" s="240">
        <v>0</v>
      </c>
      <c r="BT186" s="463">
        <v>1</v>
      </c>
      <c r="BU186" s="464" t="s">
        <v>1973</v>
      </c>
      <c r="BV186" s="464">
        <v>0</v>
      </c>
      <c r="BW186" s="464">
        <v>0</v>
      </c>
      <c r="BX186" s="70">
        <v>0</v>
      </c>
      <c r="BY186" s="70"/>
      <c r="BZ186" s="70"/>
      <c r="CA186" s="70"/>
      <c r="CB186" s="70">
        <v>0</v>
      </c>
      <c r="CC186" s="70">
        <v>1</v>
      </c>
      <c r="CD186" s="70">
        <v>0</v>
      </c>
      <c r="CE186" s="70"/>
      <c r="CF186" s="70" t="s">
        <v>1954</v>
      </c>
      <c r="CG186" s="70" t="s">
        <v>1974</v>
      </c>
      <c r="CH186" s="70">
        <v>1</v>
      </c>
      <c r="CI186" s="70"/>
      <c r="CJ186" s="70">
        <v>0</v>
      </c>
      <c r="CK186" s="70">
        <v>1</v>
      </c>
      <c r="CL186" s="70">
        <v>0</v>
      </c>
      <c r="CM186" s="47">
        <v>164</v>
      </c>
      <c r="CN186" s="47">
        <v>130</v>
      </c>
      <c r="CP186" s="504">
        <v>27</v>
      </c>
      <c r="CQ186" s="504">
        <v>28.6</v>
      </c>
      <c r="CR186" s="455">
        <v>41123.914583333331</v>
      </c>
      <c r="CS186" s="455">
        <v>41131</v>
      </c>
      <c r="CT186" s="78">
        <v>7</v>
      </c>
      <c r="CU186" s="79">
        <v>41131</v>
      </c>
      <c r="CV186" s="465">
        <v>1</v>
      </c>
      <c r="CW186" s="79">
        <v>41131</v>
      </c>
      <c r="CX186" s="465">
        <v>1</v>
      </c>
      <c r="CY186" s="465">
        <v>1</v>
      </c>
      <c r="CZ186" s="465">
        <v>0</v>
      </c>
      <c r="DA186" s="455" t="s">
        <v>1965</v>
      </c>
      <c r="DB186" s="465">
        <v>0</v>
      </c>
      <c r="DC186" s="455"/>
      <c r="DD186" s="465">
        <v>0</v>
      </c>
      <c r="DE186" s="455"/>
      <c r="DF186" s="465">
        <v>0</v>
      </c>
      <c r="DG186" s="455"/>
      <c r="DH186" s="455"/>
      <c r="DI186" s="70"/>
      <c r="DJ186" s="70">
        <v>1</v>
      </c>
      <c r="DK186" s="430">
        <v>0.23011176857330704</v>
      </c>
      <c r="DL186" s="70" t="b">
        <v>1</v>
      </c>
      <c r="DM186" s="70"/>
      <c r="DN186" s="299">
        <v>41131</v>
      </c>
      <c r="DO186" s="301" t="s">
        <v>841</v>
      </c>
      <c r="DP186" s="70"/>
      <c r="DQ186" s="70"/>
      <c r="DR186" s="70"/>
      <c r="DS186" s="70"/>
      <c r="DT186" s="70"/>
      <c r="DU186" s="70"/>
      <c r="DV186" s="70"/>
      <c r="DW186" s="70"/>
      <c r="DX186" s="70"/>
      <c r="DY186" s="70"/>
      <c r="DZ186" s="70"/>
      <c r="EA186" s="70"/>
      <c r="EB186" s="70"/>
      <c r="EC186" s="70"/>
      <c r="ED186" s="70"/>
      <c r="EE186" s="70"/>
      <c r="EF186" s="70"/>
      <c r="EG186" s="70"/>
      <c r="EH186" s="70"/>
      <c r="EI186" s="70"/>
    </row>
    <row r="187" spans="1:139" s="47" customFormat="1" ht="39.75" customHeight="1">
      <c r="A187" s="50">
        <v>354</v>
      </c>
      <c r="B187" s="455">
        <v>41104</v>
      </c>
      <c r="C187" s="55">
        <v>41104.390972222223</v>
      </c>
      <c r="D187" s="456">
        <v>21947387</v>
      </c>
      <c r="E187" s="457" t="s">
        <v>862</v>
      </c>
      <c r="F187" s="47" t="b">
        <v>1</v>
      </c>
      <c r="H187" s="457" t="s">
        <v>441</v>
      </c>
      <c r="I187" s="457" t="s">
        <v>863</v>
      </c>
      <c r="J187" s="255">
        <v>29.460273972602739</v>
      </c>
      <c r="K187" s="181">
        <v>353.48454963839578</v>
      </c>
      <c r="L187" s="457" t="s">
        <v>419</v>
      </c>
      <c r="M187" s="458" t="s">
        <v>864</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v>0</v>
      </c>
      <c r="AK187" s="323">
        <f t="shared" si="4"/>
        <v>0</v>
      </c>
      <c r="AL187" s="186"/>
      <c r="AM187" s="58">
        <v>41104</v>
      </c>
      <c r="AN187" s="459" t="s">
        <v>1975</v>
      </c>
      <c r="AO187" s="54">
        <v>41132</v>
      </c>
      <c r="AP187" s="50" t="s">
        <v>754</v>
      </c>
      <c r="AQ187" s="58">
        <v>41103</v>
      </c>
      <c r="AR187" s="52">
        <v>0</v>
      </c>
      <c r="AS187" s="52"/>
      <c r="AT187" s="323">
        <v>0</v>
      </c>
      <c r="AU187" s="52">
        <v>1</v>
      </c>
      <c r="AV187" s="52">
        <v>0</v>
      </c>
      <c r="AW187" s="52">
        <v>1</v>
      </c>
      <c r="AX187" s="457" t="s">
        <v>865</v>
      </c>
      <c r="AY187" s="70"/>
      <c r="AZ187" s="70" t="s">
        <v>1901</v>
      </c>
      <c r="BA187" s="47">
        <v>0</v>
      </c>
      <c r="BB187" s="69">
        <v>1</v>
      </c>
      <c r="BC187" s="69"/>
      <c r="BD187" s="69">
        <v>0</v>
      </c>
      <c r="BE187" s="69">
        <v>0</v>
      </c>
      <c r="BF187" s="234">
        <v>1</v>
      </c>
      <c r="BG187" s="766">
        <v>0</v>
      </c>
      <c r="BH187" s="766"/>
      <c r="BI187" s="223">
        <v>1</v>
      </c>
      <c r="BJ187" s="70"/>
      <c r="BK187" s="70">
        <v>0</v>
      </c>
      <c r="BL187" s="70"/>
      <c r="BM187" s="70">
        <v>1</v>
      </c>
      <c r="BN187" s="70" t="s">
        <v>1976</v>
      </c>
      <c r="BO187" s="70">
        <v>0</v>
      </c>
      <c r="BP187" s="70">
        <v>0</v>
      </c>
      <c r="BQ187" s="70">
        <v>1</v>
      </c>
      <c r="BR187" s="70">
        <v>0</v>
      </c>
      <c r="BS187" s="467">
        <v>0</v>
      </c>
      <c r="BT187" s="223">
        <v>0</v>
      </c>
      <c r="BU187" s="70"/>
      <c r="BV187" s="70">
        <v>0</v>
      </c>
      <c r="BW187" s="70">
        <v>0</v>
      </c>
      <c r="BX187" s="70">
        <v>0</v>
      </c>
      <c r="BY187" s="70"/>
      <c r="BZ187" s="70"/>
      <c r="CA187" s="70"/>
      <c r="CB187" s="77">
        <v>0</v>
      </c>
      <c r="CC187" s="77">
        <v>0</v>
      </c>
      <c r="CD187" s="77">
        <v>0</v>
      </c>
      <c r="CE187" s="77"/>
      <c r="CF187" s="77"/>
      <c r="CG187" s="70"/>
      <c r="CH187" s="70">
        <v>0</v>
      </c>
      <c r="CI187" s="70"/>
      <c r="CJ187" s="70">
        <v>0</v>
      </c>
      <c r="CK187" s="70">
        <v>0</v>
      </c>
      <c r="CL187" s="70">
        <v>0</v>
      </c>
      <c r="CM187" s="47">
        <v>105</v>
      </c>
      <c r="CN187" s="47">
        <v>64</v>
      </c>
      <c r="CP187" s="504">
        <v>36.200000000000003</v>
      </c>
      <c r="CQ187" s="504"/>
      <c r="CR187" s="455">
        <v>41104.00277777778</v>
      </c>
      <c r="CS187" s="455">
        <v>41132</v>
      </c>
      <c r="CT187" s="78">
        <v>28</v>
      </c>
      <c r="CU187" s="79">
        <v>44243</v>
      </c>
      <c r="CV187" s="465">
        <v>0</v>
      </c>
      <c r="CW187" s="455"/>
      <c r="CX187" s="465">
        <v>0</v>
      </c>
      <c r="CY187" s="465">
        <v>0</v>
      </c>
      <c r="CZ187" s="465">
        <v>0</v>
      </c>
      <c r="DA187" s="455"/>
      <c r="DB187" s="465">
        <v>0</v>
      </c>
      <c r="DC187" s="455"/>
      <c r="DD187" s="465">
        <v>0</v>
      </c>
      <c r="DE187" s="455"/>
      <c r="DF187" s="465">
        <v>0</v>
      </c>
      <c r="DG187" s="455"/>
      <c r="DH187" s="455"/>
      <c r="DI187" s="70"/>
      <c r="DJ187" s="70">
        <v>0</v>
      </c>
      <c r="DK187" s="70"/>
      <c r="DL187" s="70"/>
      <c r="DM187" s="70"/>
      <c r="DN187" s="306"/>
      <c r="DO187" s="301" t="s">
        <v>821</v>
      </c>
      <c r="DP187" s="70"/>
      <c r="DQ187" s="70"/>
      <c r="DR187" s="70"/>
      <c r="DS187" s="70"/>
      <c r="DT187" s="70"/>
      <c r="DU187" s="70"/>
      <c r="DV187" s="70"/>
      <c r="DW187" s="70"/>
      <c r="DX187" s="70"/>
      <c r="DY187" s="70"/>
      <c r="DZ187" s="70"/>
      <c r="EA187" s="70"/>
      <c r="EB187" s="70"/>
      <c r="EC187" s="70"/>
      <c r="ED187" s="70"/>
      <c r="EE187" s="70"/>
      <c r="EF187" s="70"/>
      <c r="EG187" s="70"/>
      <c r="EH187" s="70"/>
      <c r="EI187" s="70"/>
    </row>
    <row r="188" spans="1:139" s="47" customFormat="1" ht="39.75" customHeight="1">
      <c r="A188" s="50">
        <v>355</v>
      </c>
      <c r="B188" s="455">
        <v>41103</v>
      </c>
      <c r="C188" s="55">
        <v>41103.34097222222</v>
      </c>
      <c r="D188" s="456">
        <v>29203931</v>
      </c>
      <c r="E188" s="457" t="s">
        <v>866</v>
      </c>
      <c r="F188" s="47" t="b">
        <v>1</v>
      </c>
      <c r="H188" s="457" t="s">
        <v>441</v>
      </c>
      <c r="I188" s="457" t="s">
        <v>867</v>
      </c>
      <c r="J188" s="255">
        <v>27.295890410958904</v>
      </c>
      <c r="K188" s="181">
        <v>327.51479289940829</v>
      </c>
      <c r="L188" s="457" t="s">
        <v>500</v>
      </c>
      <c r="M188" s="458" t="s">
        <v>868</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v>0</v>
      </c>
      <c r="AK188" s="323">
        <f t="shared" si="4"/>
        <v>0</v>
      </c>
      <c r="AL188" s="186"/>
      <c r="AM188" s="58">
        <v>41102</v>
      </c>
      <c r="AN188" s="459" t="s">
        <v>1977</v>
      </c>
      <c r="AO188" s="54">
        <v>41145</v>
      </c>
      <c r="AP188" s="50" t="s">
        <v>187</v>
      </c>
      <c r="AQ188" s="58">
        <v>41101</v>
      </c>
      <c r="AR188" s="47">
        <v>1</v>
      </c>
      <c r="AS188" s="52" t="s">
        <v>749</v>
      </c>
      <c r="AT188" s="323">
        <v>0</v>
      </c>
      <c r="AU188" s="52">
        <v>0</v>
      </c>
      <c r="AV188" s="52">
        <v>0</v>
      </c>
      <c r="AW188" s="52">
        <v>1</v>
      </c>
      <c r="AX188" s="459" t="s">
        <v>869</v>
      </c>
      <c r="AY188" s="70"/>
      <c r="AZ188" s="70" t="s">
        <v>1940</v>
      </c>
      <c r="BA188" s="47">
        <v>0</v>
      </c>
      <c r="BB188" s="69">
        <v>1</v>
      </c>
      <c r="BC188" s="69"/>
      <c r="BD188" s="69">
        <v>0</v>
      </c>
      <c r="BE188" s="69">
        <v>0</v>
      </c>
      <c r="BF188" s="234">
        <v>0</v>
      </c>
      <c r="BG188" s="766">
        <v>0</v>
      </c>
      <c r="BH188" s="766"/>
      <c r="BI188" s="223">
        <v>1</v>
      </c>
      <c r="BJ188" s="70"/>
      <c r="BK188" s="70">
        <v>1</v>
      </c>
      <c r="BL188" s="70" t="s">
        <v>1979</v>
      </c>
      <c r="BM188" s="70">
        <v>1</v>
      </c>
      <c r="BN188" s="70" t="s">
        <v>1978</v>
      </c>
      <c r="BO188" s="70">
        <v>1</v>
      </c>
      <c r="BP188" s="70">
        <v>0</v>
      </c>
      <c r="BQ188" s="70">
        <v>0</v>
      </c>
      <c r="BR188" s="70">
        <v>0</v>
      </c>
      <c r="BS188" s="467">
        <v>0</v>
      </c>
      <c r="BT188" s="223">
        <v>0</v>
      </c>
      <c r="BU188" s="70"/>
      <c r="BV188" s="70">
        <v>0</v>
      </c>
      <c r="BW188" s="70">
        <v>0</v>
      </c>
      <c r="BX188" s="70">
        <v>0</v>
      </c>
      <c r="BY188" s="70"/>
      <c r="BZ188" s="70"/>
      <c r="CA188" s="70"/>
      <c r="CB188" s="77">
        <v>0</v>
      </c>
      <c r="CC188" s="77">
        <v>0</v>
      </c>
      <c r="CD188" s="77">
        <v>0</v>
      </c>
      <c r="CE188" s="77"/>
      <c r="CF188" s="77"/>
      <c r="CG188" s="70"/>
      <c r="CH188" s="70">
        <v>1</v>
      </c>
      <c r="CI188" s="70" t="s">
        <v>1918</v>
      </c>
      <c r="CJ188" s="70">
        <v>0</v>
      </c>
      <c r="CK188" s="70">
        <v>0</v>
      </c>
      <c r="CL188" s="70">
        <v>0</v>
      </c>
      <c r="CM188" s="47">
        <v>85</v>
      </c>
      <c r="CN188" s="47">
        <v>63</v>
      </c>
      <c r="CP188" s="504">
        <v>29.7</v>
      </c>
      <c r="CQ188" s="504">
        <v>31.2</v>
      </c>
      <c r="CR188" s="455">
        <v>41101.718055555553</v>
      </c>
      <c r="CS188" s="455">
        <v>41129</v>
      </c>
      <c r="CT188" s="78">
        <v>26</v>
      </c>
      <c r="CU188" s="79">
        <v>44200</v>
      </c>
      <c r="CV188" s="465">
        <v>0</v>
      </c>
      <c r="CW188" s="455"/>
      <c r="CX188" s="465">
        <v>0</v>
      </c>
      <c r="CY188" s="465">
        <v>0</v>
      </c>
      <c r="CZ188" s="465">
        <v>0</v>
      </c>
      <c r="DA188" s="455"/>
      <c r="DB188" s="465">
        <v>0</v>
      </c>
      <c r="DC188" s="455"/>
      <c r="DD188" s="465">
        <v>0</v>
      </c>
      <c r="DE188" s="455"/>
      <c r="DF188" s="465">
        <v>0</v>
      </c>
      <c r="DG188" s="455"/>
      <c r="DH188" s="455"/>
      <c r="DI188" s="70"/>
      <c r="DJ188" s="70">
        <v>0</v>
      </c>
      <c r="DK188" s="70"/>
      <c r="DL188" s="70"/>
      <c r="DM188" s="70"/>
      <c r="DN188" s="306"/>
      <c r="DO188" s="301" t="s">
        <v>821</v>
      </c>
      <c r="DP188" s="70"/>
      <c r="DQ188" s="70"/>
      <c r="DR188" s="70"/>
      <c r="DS188" s="70"/>
      <c r="DT188" s="70"/>
      <c r="DU188" s="70"/>
      <c r="DV188" s="70"/>
      <c r="DW188" s="70"/>
      <c r="DX188" s="70"/>
      <c r="DY188" s="70"/>
      <c r="DZ188" s="70"/>
      <c r="EA188" s="70"/>
      <c r="EB188" s="70"/>
      <c r="EC188" s="70"/>
      <c r="ED188" s="70"/>
      <c r="EE188" s="70"/>
      <c r="EF188" s="70"/>
      <c r="EG188" s="70"/>
      <c r="EH188" s="70"/>
      <c r="EI188" s="70"/>
    </row>
    <row r="189" spans="1:139" s="47" customFormat="1" ht="39.75" customHeight="1">
      <c r="A189" s="50">
        <v>357</v>
      </c>
      <c r="B189" s="455">
        <v>41099</v>
      </c>
      <c r="C189" s="55">
        <v>41099.5</v>
      </c>
      <c r="D189" s="456">
        <v>29108625</v>
      </c>
      <c r="E189" s="457" t="s">
        <v>870</v>
      </c>
      <c r="F189" s="47" t="b">
        <v>1</v>
      </c>
      <c r="H189" s="457" t="s">
        <v>418</v>
      </c>
      <c r="I189" s="457" t="s">
        <v>871</v>
      </c>
      <c r="J189" s="255">
        <v>32.591780821917808</v>
      </c>
      <c r="K189" s="181">
        <v>391.05851413543718</v>
      </c>
      <c r="L189" s="457" t="s">
        <v>493</v>
      </c>
      <c r="M189" s="458" t="s">
        <v>872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v>0</v>
      </c>
      <c r="AK189" s="323">
        <f t="shared" si="4"/>
        <v>0</v>
      </c>
      <c r="AL189" s="186"/>
      <c r="AM189" s="58">
        <v>41073</v>
      </c>
      <c r="AN189" s="52" t="s">
        <v>1958</v>
      </c>
      <c r="AO189" s="54">
        <v>41106</v>
      </c>
      <c r="AP189" s="50" t="s">
        <v>543</v>
      </c>
      <c r="AQ189" s="58">
        <v>41069</v>
      </c>
      <c r="AR189" s="52">
        <v>0</v>
      </c>
      <c r="AS189" s="52"/>
      <c r="AT189" s="323">
        <v>0</v>
      </c>
      <c r="AU189" s="52">
        <v>1</v>
      </c>
      <c r="AV189" s="52">
        <v>1</v>
      </c>
      <c r="AW189" s="52">
        <v>1</v>
      </c>
      <c r="AX189" s="457" t="s">
        <v>873</v>
      </c>
      <c r="AY189" s="70"/>
      <c r="AZ189" s="70" t="s">
        <v>1901</v>
      </c>
      <c r="BA189" s="47">
        <v>0</v>
      </c>
      <c r="BB189" s="69">
        <v>1</v>
      </c>
      <c r="BC189" s="69"/>
      <c r="BD189" s="69">
        <v>0</v>
      </c>
      <c r="BE189" s="69">
        <v>0</v>
      </c>
      <c r="BF189" s="234">
        <v>1</v>
      </c>
      <c r="BG189" s="766">
        <v>0</v>
      </c>
      <c r="BH189" s="766"/>
      <c r="BI189" s="223">
        <v>1</v>
      </c>
      <c r="BJ189" s="70"/>
      <c r="BK189" s="70">
        <v>0</v>
      </c>
      <c r="BL189" s="70"/>
      <c r="BM189" s="70">
        <v>1</v>
      </c>
      <c r="BN189" s="70" t="s">
        <v>1980</v>
      </c>
      <c r="BO189" s="70">
        <v>0</v>
      </c>
      <c r="BP189" s="70">
        <v>0</v>
      </c>
      <c r="BQ189" s="70">
        <v>0</v>
      </c>
      <c r="BR189" s="70">
        <v>1</v>
      </c>
      <c r="BS189" s="467">
        <v>0</v>
      </c>
      <c r="BT189" s="223">
        <v>0</v>
      </c>
      <c r="BU189" s="70"/>
      <c r="BV189" s="70">
        <v>0</v>
      </c>
      <c r="BW189" s="70">
        <v>0</v>
      </c>
      <c r="BX189" s="70">
        <v>0</v>
      </c>
      <c r="BY189" s="70"/>
      <c r="BZ189" s="70"/>
      <c r="CA189" s="70"/>
      <c r="CB189" s="77">
        <v>0</v>
      </c>
      <c r="CC189" s="77">
        <v>0</v>
      </c>
      <c r="CD189" s="77">
        <v>0</v>
      </c>
      <c r="CE189" s="77"/>
      <c r="CF189" s="77"/>
      <c r="CG189" s="70"/>
      <c r="CH189" s="70">
        <v>0</v>
      </c>
      <c r="CI189" s="70"/>
      <c r="CJ189" s="70">
        <v>0</v>
      </c>
      <c r="CK189" s="70">
        <v>0</v>
      </c>
      <c r="CL189" s="70">
        <v>0</v>
      </c>
      <c r="CM189" s="47">
        <v>49</v>
      </c>
      <c r="CN189" s="47">
        <v>33</v>
      </c>
      <c r="CP189" s="504">
        <v>32</v>
      </c>
      <c r="CQ189" s="504">
        <v>33</v>
      </c>
      <c r="CR189" s="455">
        <v>41094.708333333336</v>
      </c>
      <c r="CS189" s="455">
        <v>41108</v>
      </c>
      <c r="CT189" s="78">
        <v>9</v>
      </c>
      <c r="CU189" s="79">
        <v>43620</v>
      </c>
      <c r="CV189" s="465">
        <v>0</v>
      </c>
      <c r="CW189" s="455"/>
      <c r="CX189" s="465">
        <v>0</v>
      </c>
      <c r="CY189" s="465">
        <v>0</v>
      </c>
      <c r="CZ189" s="465">
        <v>0</v>
      </c>
      <c r="DA189" s="455"/>
      <c r="DB189" s="465">
        <v>0</v>
      </c>
      <c r="DC189" s="455"/>
      <c r="DD189" s="465">
        <v>0</v>
      </c>
      <c r="DE189" s="455"/>
      <c r="DF189" s="465">
        <v>0</v>
      </c>
      <c r="DG189" s="455"/>
      <c r="DH189" s="455"/>
      <c r="DI189" s="70"/>
      <c r="DJ189" s="70">
        <v>0</v>
      </c>
      <c r="DK189" s="70"/>
      <c r="DL189" s="70"/>
      <c r="DM189" s="70"/>
      <c r="DN189" s="306"/>
      <c r="DO189" s="301" t="s">
        <v>821</v>
      </c>
      <c r="DP189" s="70"/>
      <c r="DQ189" s="70"/>
      <c r="DR189" s="70"/>
      <c r="DS189" s="70"/>
      <c r="DT189" s="70"/>
      <c r="DU189" s="70"/>
      <c r="DV189" s="70"/>
      <c r="DW189" s="70"/>
      <c r="DX189" s="70"/>
      <c r="DY189" s="70"/>
      <c r="DZ189" s="70"/>
      <c r="EA189" s="70"/>
      <c r="EB189" s="70"/>
      <c r="EC189" s="70"/>
      <c r="ED189" s="70"/>
      <c r="EE189" s="70"/>
      <c r="EF189" s="70"/>
      <c r="EG189" s="70"/>
      <c r="EH189" s="70"/>
      <c r="EI189" s="70"/>
    </row>
    <row r="190" spans="1:139" s="196" customFormat="1" ht="39.75" customHeight="1">
      <c r="A190" s="90">
        <v>360</v>
      </c>
      <c r="B190" s="468">
        <v>41073</v>
      </c>
      <c r="C190" s="194">
        <v>41073.509722222225</v>
      </c>
      <c r="D190" s="469">
        <v>17320004</v>
      </c>
      <c r="E190" s="470" t="s">
        <v>874</v>
      </c>
      <c r="F190" s="196" t="s">
        <v>1590</v>
      </c>
      <c r="G190" s="196" t="s">
        <v>1730</v>
      </c>
      <c r="H190" s="470" t="s">
        <v>418</v>
      </c>
      <c r="I190" s="470" t="s">
        <v>875</v>
      </c>
      <c r="J190" s="259">
        <v>53.715068493150682</v>
      </c>
      <c r="K190" s="197">
        <v>644.51019066403683</v>
      </c>
      <c r="L190" s="470" t="s">
        <v>876</v>
      </c>
      <c r="M190" s="471" t="s">
        <v>877</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c r="AK190" s="326">
        <f t="shared" si="4"/>
        <v>1</v>
      </c>
      <c r="AL190" s="198"/>
      <c r="AM190" s="199"/>
      <c r="AN190" s="200"/>
      <c r="AO190" s="88">
        <v>41101</v>
      </c>
      <c r="AP190" s="90" t="s">
        <v>754</v>
      </c>
      <c r="AQ190" s="199"/>
      <c r="AR190" s="200">
        <v>1</v>
      </c>
      <c r="AS190" s="200" t="s">
        <v>878</v>
      </c>
      <c r="AT190" s="326">
        <v>1</v>
      </c>
      <c r="AU190" s="200">
        <v>0</v>
      </c>
      <c r="AV190" s="200">
        <v>0</v>
      </c>
      <c r="AW190" s="200">
        <v>1</v>
      </c>
      <c r="AX190" s="473" t="s">
        <v>880</v>
      </c>
      <c r="AY190" s="201"/>
      <c r="AZ190" s="201"/>
      <c r="BB190" s="203">
        <v>1</v>
      </c>
      <c r="BC190" s="203"/>
      <c r="BD190" s="203">
        <v>0</v>
      </c>
      <c r="BE190" s="203">
        <v>1</v>
      </c>
      <c r="BF190" s="236">
        <v>0</v>
      </c>
      <c r="BG190" s="768"/>
      <c r="BH190" s="768"/>
      <c r="BI190" s="226">
        <v>1</v>
      </c>
      <c r="BJ190" s="201"/>
      <c r="BK190" s="201"/>
      <c r="BL190" s="201"/>
      <c r="BM190" s="280" t="s">
        <v>879</v>
      </c>
      <c r="BN190" s="280"/>
      <c r="BO190" s="280"/>
      <c r="BP190" s="280"/>
      <c r="BQ190" s="280"/>
      <c r="BR190" s="280"/>
      <c r="BS190" s="474">
        <v>0</v>
      </c>
      <c r="BT190" s="226"/>
      <c r="BU190" s="201"/>
      <c r="BV190" s="201"/>
      <c r="BW190" s="201"/>
      <c r="BX190" s="201">
        <v>0</v>
      </c>
      <c r="BY190" s="201"/>
      <c r="BZ190" s="201"/>
      <c r="CA190" s="201" t="e">
        <v>#REF!</v>
      </c>
      <c r="CB190" s="204">
        <v>0</v>
      </c>
      <c r="CC190" s="204"/>
      <c r="CD190" s="204"/>
      <c r="CE190" s="204"/>
      <c r="CF190" s="204">
        <v>0</v>
      </c>
      <c r="CG190" s="201"/>
      <c r="CH190" s="201"/>
      <c r="CI190" s="201"/>
      <c r="CJ190" s="201">
        <v>0</v>
      </c>
      <c r="CK190" s="201">
        <v>0</v>
      </c>
      <c r="CL190" s="201"/>
      <c r="CM190" s="196">
        <v>151</v>
      </c>
      <c r="CN190" s="196">
        <v>75</v>
      </c>
      <c r="CP190" s="506">
        <v>27.4</v>
      </c>
      <c r="CQ190" s="506">
        <v>31.3</v>
      </c>
      <c r="CR190" s="468">
        <v>41068.780555555553</v>
      </c>
      <c r="CS190" s="468">
        <v>41088</v>
      </c>
      <c r="CT190" s="205">
        <v>15</v>
      </c>
      <c r="CU190" s="206"/>
      <c r="CV190" s="475">
        <v>0</v>
      </c>
      <c r="CW190" s="468"/>
      <c r="CX190" s="475"/>
      <c r="CY190" s="475"/>
      <c r="CZ190" s="475"/>
      <c r="DA190" s="468"/>
      <c r="DB190" s="475">
        <v>0</v>
      </c>
      <c r="DC190" s="468"/>
      <c r="DD190" s="475">
        <v>0</v>
      </c>
      <c r="DE190" s="468"/>
      <c r="DF190" s="475">
        <v>0</v>
      </c>
      <c r="DG190" s="468"/>
      <c r="DH190" s="468"/>
      <c r="DI190" s="201"/>
      <c r="DJ190" s="201">
        <v>0</v>
      </c>
      <c r="DK190" s="201"/>
      <c r="DL190" s="201"/>
      <c r="DM190" s="201"/>
      <c r="DN190" s="476"/>
      <c r="DO190" s="477" t="s">
        <v>821</v>
      </c>
      <c r="DP190" s="201"/>
      <c r="DQ190" s="201"/>
      <c r="DR190" s="201"/>
      <c r="DS190" s="201"/>
      <c r="DT190" s="201"/>
      <c r="DU190" s="201"/>
      <c r="DV190" s="201"/>
      <c r="DW190" s="201"/>
      <c r="DX190" s="201"/>
      <c r="DY190" s="201"/>
      <c r="DZ190" s="201"/>
      <c r="EA190" s="201"/>
      <c r="EB190" s="201"/>
      <c r="EC190" s="201"/>
      <c r="ED190" s="201"/>
      <c r="EE190" s="201"/>
      <c r="EF190" s="201"/>
      <c r="EG190" s="201"/>
      <c r="EH190" s="201"/>
      <c r="EI190" s="201"/>
    </row>
    <row r="191" spans="1:139" s="47" customFormat="1" ht="39.75" customHeight="1">
      <c r="A191" s="50">
        <v>366</v>
      </c>
      <c r="B191" s="455">
        <v>41037</v>
      </c>
      <c r="C191" s="55">
        <v>41037.589583333334</v>
      </c>
      <c r="D191" s="456">
        <v>24796139</v>
      </c>
      <c r="E191" s="457" t="s">
        <v>881</v>
      </c>
      <c r="F191" s="47" t="b">
        <v>1</v>
      </c>
      <c r="H191" s="457" t="s">
        <v>418</v>
      </c>
      <c r="I191" s="457" t="s">
        <v>882</v>
      </c>
      <c r="J191" s="255">
        <v>71.558904109589037</v>
      </c>
      <c r="K191" s="181">
        <v>858.61275476660091</v>
      </c>
      <c r="L191" s="457" t="s">
        <v>500</v>
      </c>
      <c r="M191" s="458" t="s">
        <v>883</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461">
        <v>1</v>
      </c>
      <c r="AK191" s="323">
        <f t="shared" si="4"/>
        <v>0</v>
      </c>
      <c r="AL191" s="458" t="s">
        <v>1981</v>
      </c>
      <c r="AM191" s="462">
        <v>41034</v>
      </c>
      <c r="AN191" s="459" t="s">
        <v>1982</v>
      </c>
      <c r="AO191" s="54">
        <v>41078</v>
      </c>
      <c r="AP191" s="457" t="s">
        <v>1983</v>
      </c>
      <c r="AQ191" s="462">
        <v>41034</v>
      </c>
      <c r="AR191" s="459" t="s">
        <v>1949</v>
      </c>
      <c r="AS191" s="459" t="s">
        <v>1913</v>
      </c>
      <c r="AT191" s="461" t="s">
        <v>1948</v>
      </c>
      <c r="AU191" s="459" t="s">
        <v>1948</v>
      </c>
      <c r="AV191" s="459" t="s">
        <v>1948</v>
      </c>
      <c r="AW191" s="459" t="s">
        <v>1949</v>
      </c>
      <c r="AX191" s="459" t="s">
        <v>884</v>
      </c>
      <c r="AY191" s="70" t="s">
        <v>1954</v>
      </c>
      <c r="AZ191" s="70" t="s">
        <v>1770</v>
      </c>
      <c r="BA191" s="47">
        <v>0</v>
      </c>
      <c r="BB191" s="69">
        <v>1</v>
      </c>
      <c r="BC191" s="69"/>
      <c r="BD191" s="69">
        <v>0</v>
      </c>
      <c r="BE191" s="69">
        <v>0</v>
      </c>
      <c r="BF191" s="234">
        <v>0</v>
      </c>
      <c r="BG191" s="766">
        <v>0</v>
      </c>
      <c r="BH191" s="766"/>
      <c r="BI191" s="223">
        <v>0</v>
      </c>
      <c r="BJ191" s="70"/>
      <c r="BK191" s="70">
        <v>0</v>
      </c>
      <c r="BL191" s="70"/>
      <c r="BM191" s="70">
        <v>0</v>
      </c>
      <c r="BN191" s="70"/>
      <c r="BO191" s="70">
        <v>0</v>
      </c>
      <c r="BP191" s="70">
        <v>0</v>
      </c>
      <c r="BQ191" s="70">
        <v>0</v>
      </c>
      <c r="BR191" s="70">
        <v>0</v>
      </c>
      <c r="BS191" s="240">
        <v>0</v>
      </c>
      <c r="BT191" s="463">
        <v>1</v>
      </c>
      <c r="BU191" s="464" t="s">
        <v>1984</v>
      </c>
      <c r="BV191" s="464">
        <v>0</v>
      </c>
      <c r="BW191" s="464">
        <v>0</v>
      </c>
      <c r="BX191" s="70">
        <v>0</v>
      </c>
      <c r="BY191" s="70"/>
      <c r="BZ191" s="70"/>
      <c r="CA191" s="70"/>
      <c r="CB191" s="70">
        <v>0</v>
      </c>
      <c r="CC191" s="70">
        <v>1</v>
      </c>
      <c r="CD191" s="70">
        <v>0</v>
      </c>
      <c r="CE191" s="70"/>
      <c r="CF191" s="70" t="s">
        <v>1940</v>
      </c>
      <c r="CG191" s="70" t="s">
        <v>1985</v>
      </c>
      <c r="CH191" s="70">
        <v>1</v>
      </c>
      <c r="CI191" s="70" t="s">
        <v>1986</v>
      </c>
      <c r="CJ191" s="70">
        <v>0</v>
      </c>
      <c r="CK191" s="70">
        <v>1</v>
      </c>
      <c r="CL191" s="70">
        <v>0</v>
      </c>
      <c r="CM191" s="47">
        <v>168</v>
      </c>
      <c r="CN191" s="47">
        <v>137</v>
      </c>
      <c r="CP191" s="504">
        <v>27.1</v>
      </c>
      <c r="CQ191" s="504">
        <v>29</v>
      </c>
      <c r="CR191" s="455">
        <v>41033.848611111112</v>
      </c>
      <c r="CS191" s="455">
        <v>41079</v>
      </c>
      <c r="CT191" s="78">
        <v>42</v>
      </c>
      <c r="CU191" s="79">
        <v>42064</v>
      </c>
      <c r="CV191" s="465">
        <v>1</v>
      </c>
      <c r="CW191" s="79">
        <v>42064</v>
      </c>
      <c r="CX191" s="465">
        <v>0</v>
      </c>
      <c r="CY191" s="465">
        <v>0</v>
      </c>
      <c r="CZ191" s="465">
        <v>1</v>
      </c>
      <c r="DA191" s="455" t="s">
        <v>1987</v>
      </c>
      <c r="DB191" s="465">
        <v>0</v>
      </c>
      <c r="DC191" s="455"/>
      <c r="DD191" s="465">
        <v>0</v>
      </c>
      <c r="DE191" s="455"/>
      <c r="DF191" s="465">
        <v>0</v>
      </c>
      <c r="DG191" s="455"/>
      <c r="DH191" s="455"/>
      <c r="DI191" s="70"/>
      <c r="DJ191" s="70">
        <v>0</v>
      </c>
      <c r="DK191" s="70"/>
      <c r="DL191" s="70"/>
      <c r="DM191" s="70"/>
      <c r="DN191" s="306"/>
      <c r="DO191" s="301" t="s">
        <v>821</v>
      </c>
      <c r="DP191" s="70"/>
      <c r="DQ191" s="70"/>
      <c r="DR191" s="70"/>
      <c r="DS191" s="70"/>
      <c r="DT191" s="70"/>
      <c r="DU191" s="70"/>
      <c r="DV191" s="70"/>
      <c r="DW191" s="70"/>
      <c r="DX191" s="70"/>
      <c r="DY191" s="70"/>
      <c r="DZ191" s="70"/>
      <c r="EA191" s="70"/>
      <c r="EB191" s="70"/>
      <c r="EC191" s="70"/>
      <c r="ED191" s="70"/>
      <c r="EE191" s="70"/>
      <c r="EF191" s="70"/>
      <c r="EG191" s="70"/>
      <c r="EH191" s="70"/>
      <c r="EI191" s="70"/>
    </row>
    <row r="192" spans="1:139" s="196" customFormat="1" ht="39.75" customHeight="1">
      <c r="A192" s="90">
        <v>368</v>
      </c>
      <c r="B192" s="468">
        <v>41013</v>
      </c>
      <c r="C192" s="194">
        <v>41013.393055555556</v>
      </c>
      <c r="D192" s="469">
        <v>19936285</v>
      </c>
      <c r="E192" s="470" t="s">
        <v>885</v>
      </c>
      <c r="F192" s="196" t="s">
        <v>1590</v>
      </c>
      <c r="G192" s="196" t="s">
        <v>1730</v>
      </c>
      <c r="H192" s="470" t="s">
        <v>418</v>
      </c>
      <c r="I192" s="470" t="s">
        <v>886</v>
      </c>
      <c r="J192" s="259">
        <v>56.821917808219176</v>
      </c>
      <c r="K192" s="197">
        <v>681.78829717291251</v>
      </c>
      <c r="L192" s="470" t="s">
        <v>493</v>
      </c>
      <c r="M192" s="471" t="s">
        <v>887</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479"/>
      <c r="AK192" s="326">
        <f t="shared" si="4"/>
        <v>0</v>
      </c>
      <c r="AL192" s="471"/>
      <c r="AM192" s="480"/>
      <c r="AN192" s="473"/>
      <c r="AO192" s="88"/>
      <c r="AP192" s="470"/>
      <c r="AQ192" s="480"/>
      <c r="AR192" s="473"/>
      <c r="AS192" s="473"/>
      <c r="AT192" s="479"/>
      <c r="AU192" s="473"/>
      <c r="AV192" s="473"/>
      <c r="AW192" s="473"/>
      <c r="AX192" s="470" t="s">
        <v>888</v>
      </c>
      <c r="AY192" s="201"/>
      <c r="AZ192" s="201">
        <v>1</v>
      </c>
      <c r="BB192" s="203"/>
      <c r="BC192" s="203"/>
      <c r="BD192" s="203"/>
      <c r="BE192" s="203"/>
      <c r="BF192" s="236"/>
      <c r="BG192" s="768"/>
      <c r="BH192" s="768"/>
      <c r="BI192" s="226"/>
      <c r="BJ192" s="201"/>
      <c r="BK192" s="201"/>
      <c r="BL192" s="201"/>
      <c r="BM192" s="201"/>
      <c r="BN192" s="201"/>
      <c r="BO192" s="201"/>
      <c r="BP192" s="201"/>
      <c r="BQ192" s="201"/>
      <c r="BR192" s="201"/>
      <c r="BS192" s="243"/>
      <c r="BT192" s="481" t="s">
        <v>245</v>
      </c>
      <c r="BU192" s="482"/>
      <c r="BV192" s="482"/>
      <c r="BW192" s="482"/>
      <c r="BX192" s="201"/>
      <c r="BY192" s="201"/>
      <c r="BZ192" s="201"/>
      <c r="CA192" s="201"/>
      <c r="CB192" s="201"/>
      <c r="CC192" s="201"/>
      <c r="CD192" s="201"/>
      <c r="CE192" s="201"/>
      <c r="CF192" s="201"/>
      <c r="CG192" s="201"/>
      <c r="CH192" s="201"/>
      <c r="CI192" s="201"/>
      <c r="CJ192" s="201">
        <v>0</v>
      </c>
      <c r="CK192" s="201">
        <v>0</v>
      </c>
      <c r="CL192" s="201"/>
      <c r="CP192" s="506"/>
      <c r="CQ192" s="506"/>
      <c r="CR192" s="468">
        <v>41002.661111111112</v>
      </c>
      <c r="CS192" s="468">
        <v>41029</v>
      </c>
      <c r="CT192" s="205">
        <v>16</v>
      </c>
      <c r="CU192" s="206"/>
      <c r="CV192" s="475"/>
      <c r="CW192" s="468"/>
      <c r="CX192" s="475"/>
      <c r="CY192" s="475"/>
      <c r="CZ192" s="475"/>
      <c r="DA192" s="468"/>
      <c r="DB192" s="475"/>
      <c r="DC192" s="468"/>
      <c r="DD192" s="475"/>
      <c r="DE192" s="468"/>
      <c r="DF192" s="475"/>
      <c r="DG192" s="468"/>
      <c r="DH192" s="468"/>
      <c r="DI192" s="201"/>
      <c r="DJ192" s="201">
        <v>0</v>
      </c>
      <c r="DK192" s="201"/>
      <c r="DL192" s="201"/>
      <c r="DM192" s="201"/>
      <c r="DN192" s="476"/>
      <c r="DO192" s="477" t="s">
        <v>821</v>
      </c>
      <c r="DP192" s="201"/>
      <c r="DQ192" s="201"/>
      <c r="DR192" s="201"/>
      <c r="DS192" s="201"/>
      <c r="DT192" s="201"/>
      <c r="DU192" s="201"/>
      <c r="DV192" s="201"/>
      <c r="DW192" s="201"/>
      <c r="DX192" s="201"/>
      <c r="DY192" s="201"/>
      <c r="DZ192" s="201"/>
      <c r="EA192" s="201"/>
      <c r="EB192" s="201"/>
      <c r="EC192" s="201"/>
      <c r="ED192" s="201"/>
      <c r="EE192" s="201"/>
      <c r="EF192" s="201"/>
      <c r="EG192" s="201"/>
      <c r="EH192" s="201"/>
      <c r="EI192" s="201"/>
    </row>
    <row r="193" spans="1:139" s="48" customFormat="1" ht="39.75" customHeight="1">
      <c r="A193" s="60">
        <v>372</v>
      </c>
      <c r="B193" s="87">
        <v>40952</v>
      </c>
      <c r="C193" s="62">
        <v>40952.493055555555</v>
      </c>
      <c r="D193" s="129">
        <v>28077920</v>
      </c>
      <c r="E193" s="130" t="s">
        <v>889</v>
      </c>
      <c r="F193" s="48" t="b">
        <v>0</v>
      </c>
      <c r="G193" s="48" t="s">
        <v>1558</v>
      </c>
      <c r="H193" s="130" t="s">
        <v>418</v>
      </c>
      <c r="I193" s="130" t="s">
        <v>890</v>
      </c>
      <c r="J193" s="110">
        <v>77.476712328767121</v>
      </c>
      <c r="K193" s="85">
        <v>929.61867192636419</v>
      </c>
      <c r="L193" s="130" t="s">
        <v>493</v>
      </c>
      <c r="M193" s="483" t="s">
        <v>891</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c r="AK193" s="324">
        <f t="shared" si="4"/>
        <v>0</v>
      </c>
      <c r="AL193" s="187"/>
      <c r="AM193" s="191"/>
      <c r="AN193" s="51"/>
      <c r="AO193" s="61"/>
      <c r="AP193" s="60"/>
      <c r="AQ193" s="191"/>
      <c r="AR193" s="51"/>
      <c r="AS193" s="51"/>
      <c r="AT193" s="324"/>
      <c r="AU193" s="51"/>
      <c r="AV193" s="51"/>
      <c r="AW193" s="51"/>
      <c r="AX193" s="132" t="s">
        <v>892</v>
      </c>
      <c r="AY193" s="71"/>
      <c r="AZ193" s="71">
        <v>1</v>
      </c>
      <c r="BB193" s="82"/>
      <c r="BC193" s="82" t="e">
        <v>#REF!</v>
      </c>
      <c r="BD193" s="82"/>
      <c r="BE193" s="82"/>
      <c r="BF193" s="235"/>
      <c r="BG193" s="767"/>
      <c r="BH193" s="767"/>
      <c r="BI193" s="224">
        <v>1</v>
      </c>
      <c r="BJ193" s="71"/>
      <c r="BK193" s="71"/>
      <c r="BL193" s="71"/>
      <c r="BM193" s="71"/>
      <c r="BN193" s="71"/>
      <c r="BO193" s="71"/>
      <c r="BP193" s="71"/>
      <c r="BQ193" s="71"/>
      <c r="BR193" s="71"/>
      <c r="BS193" s="241" t="s">
        <v>148</v>
      </c>
      <c r="BT193" s="224"/>
      <c r="BU193" s="71"/>
      <c r="BV193" s="71"/>
      <c r="BW193" s="71"/>
      <c r="BX193" s="71"/>
      <c r="BY193" s="71"/>
      <c r="BZ193" s="71"/>
      <c r="CA193" s="71" t="e">
        <v>#REF!</v>
      </c>
      <c r="CB193" s="86"/>
      <c r="CC193" s="86"/>
      <c r="CD193" s="86"/>
      <c r="CE193" s="86"/>
      <c r="CF193" s="86"/>
      <c r="CG193" s="71"/>
      <c r="CH193" s="71"/>
      <c r="CI193" s="71"/>
      <c r="CJ193" s="71">
        <v>0</v>
      </c>
      <c r="CK193" s="71">
        <v>0</v>
      </c>
      <c r="CL193" s="71"/>
      <c r="CP193" s="505"/>
      <c r="CQ193" s="505"/>
      <c r="CR193" s="87">
        <v>40948.614583333336</v>
      </c>
      <c r="CS193" s="87">
        <v>40978</v>
      </c>
      <c r="CT193" s="83">
        <v>26</v>
      </c>
      <c r="CU193" s="84"/>
      <c r="CV193" s="133"/>
      <c r="CW193" s="87"/>
      <c r="CX193" s="133"/>
      <c r="CY193" s="133"/>
      <c r="CZ193" s="133"/>
      <c r="DA193" s="87"/>
      <c r="DB193" s="133"/>
      <c r="DC193" s="87"/>
      <c r="DD193" s="133"/>
      <c r="DE193" s="87"/>
      <c r="DF193" s="133"/>
      <c r="DG193" s="87"/>
      <c r="DH193" s="87" t="s">
        <v>893</v>
      </c>
      <c r="DI193" s="71"/>
      <c r="DJ193" s="71">
        <v>0</v>
      </c>
      <c r="DK193" s="71"/>
      <c r="DL193" s="71"/>
      <c r="DM193" s="71"/>
      <c r="DN193" s="112"/>
      <c r="DO193" s="106" t="s">
        <v>821</v>
      </c>
      <c r="DP193" s="71"/>
      <c r="DQ193" s="71"/>
      <c r="DR193" s="71"/>
      <c r="DS193" s="71"/>
      <c r="DT193" s="71"/>
      <c r="DU193" s="71"/>
      <c r="DV193" s="71"/>
      <c r="DW193" s="71"/>
      <c r="DX193" s="71"/>
      <c r="DY193" s="71"/>
      <c r="DZ193" s="71"/>
      <c r="EA193" s="71"/>
      <c r="EB193" s="71"/>
      <c r="EC193" s="71"/>
      <c r="ED193" s="71"/>
      <c r="EE193" s="71"/>
      <c r="EF193" s="71"/>
      <c r="EG193" s="71"/>
      <c r="EH193" s="71"/>
      <c r="EI193" s="71"/>
    </row>
    <row r="194" spans="1:139" s="48" customFormat="1" ht="39.75" customHeight="1">
      <c r="A194" s="60">
        <v>375</v>
      </c>
      <c r="B194" s="87">
        <v>40941</v>
      </c>
      <c r="C194" s="62">
        <v>40941.291666666664</v>
      </c>
      <c r="D194" s="129">
        <v>28227480</v>
      </c>
      <c r="E194" s="130" t="s">
        <v>894</v>
      </c>
      <c r="F194" s="48" t="b">
        <v>0</v>
      </c>
      <c r="G194" s="48" t="s">
        <v>1558</v>
      </c>
      <c r="H194" s="130" t="s">
        <v>418</v>
      </c>
      <c r="I194" s="130" t="s">
        <v>895</v>
      </c>
      <c r="J194" s="110">
        <v>33.046575342465751</v>
      </c>
      <c r="K194" s="85">
        <v>396.51545036160417</v>
      </c>
      <c r="L194" s="130" t="s">
        <v>419</v>
      </c>
      <c r="M194" s="483" t="s">
        <v>896</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c r="AK194" s="324">
        <f t="shared" si="4"/>
        <v>0</v>
      </c>
      <c r="AL194" s="187"/>
      <c r="AM194" s="191"/>
      <c r="AN194" s="51"/>
      <c r="AO194" s="61"/>
      <c r="AP194" s="60"/>
      <c r="AQ194" s="191"/>
      <c r="AR194" s="51"/>
      <c r="AS194" s="51"/>
      <c r="AT194" s="324"/>
      <c r="AU194" s="51"/>
      <c r="AV194" s="51"/>
      <c r="AW194" s="51"/>
      <c r="AX194" s="132" t="s">
        <v>897</v>
      </c>
      <c r="AY194" s="71"/>
      <c r="AZ194" s="71">
        <v>1</v>
      </c>
      <c r="BB194" s="82"/>
      <c r="BC194" s="82" t="e">
        <v>#REF!</v>
      </c>
      <c r="BD194" s="82"/>
      <c r="BE194" s="82"/>
      <c r="BF194" s="235"/>
      <c r="BG194" s="767"/>
      <c r="BH194" s="767"/>
      <c r="BI194" s="224">
        <v>1</v>
      </c>
      <c r="BJ194" s="71"/>
      <c r="BK194" s="71"/>
      <c r="BL194" s="71"/>
      <c r="BM194" s="71"/>
      <c r="BN194" s="71"/>
      <c r="BO194" s="71"/>
      <c r="BP194" s="71"/>
      <c r="BQ194" s="71"/>
      <c r="BR194" s="71"/>
      <c r="BS194" s="241" t="s">
        <v>148</v>
      </c>
      <c r="BT194" s="224"/>
      <c r="BU194" s="71"/>
      <c r="BV194" s="71"/>
      <c r="BW194" s="71"/>
      <c r="BX194" s="71"/>
      <c r="BY194" s="71"/>
      <c r="BZ194" s="71"/>
      <c r="CA194" s="71" t="e">
        <v>#REF!</v>
      </c>
      <c r="CB194" s="86"/>
      <c r="CC194" s="86"/>
      <c r="CD194" s="86"/>
      <c r="CE194" s="86"/>
      <c r="CF194" s="86"/>
      <c r="CG194" s="71"/>
      <c r="CH194" s="71"/>
      <c r="CI194" s="71"/>
      <c r="CJ194" s="71">
        <v>0</v>
      </c>
      <c r="CK194" s="71">
        <v>0</v>
      </c>
      <c r="CL194" s="71"/>
      <c r="CP194" s="505"/>
      <c r="CQ194" s="505"/>
      <c r="CR194" s="87">
        <v>40937.683333333334</v>
      </c>
      <c r="CS194" s="87">
        <v>40951</v>
      </c>
      <c r="CT194" s="83">
        <v>10</v>
      </c>
      <c r="CU194" s="84"/>
      <c r="CV194" s="133"/>
      <c r="CW194" s="87"/>
      <c r="CX194" s="133"/>
      <c r="CY194" s="133"/>
      <c r="CZ194" s="133"/>
      <c r="DA194" s="87"/>
      <c r="DB194" s="133"/>
      <c r="DC194" s="87"/>
      <c r="DD194" s="133"/>
      <c r="DE194" s="87"/>
      <c r="DF194" s="133"/>
      <c r="DG194" s="87"/>
      <c r="DH194" s="87" t="s">
        <v>893</v>
      </c>
      <c r="DI194" s="71"/>
      <c r="DJ194" s="71">
        <v>0</v>
      </c>
      <c r="DK194" s="71"/>
      <c r="DL194" s="71"/>
      <c r="DM194" s="71"/>
      <c r="DN194" s="112"/>
      <c r="DO194" s="106" t="s">
        <v>821</v>
      </c>
      <c r="DP194" s="71"/>
      <c r="DQ194" s="71"/>
      <c r="DR194" s="71"/>
      <c r="DS194" s="71"/>
      <c r="DT194" s="71"/>
      <c r="DU194" s="71"/>
      <c r="DV194" s="71"/>
      <c r="DW194" s="71"/>
      <c r="DX194" s="71"/>
      <c r="DY194" s="71"/>
      <c r="DZ194" s="71"/>
      <c r="EA194" s="71"/>
      <c r="EB194" s="71"/>
      <c r="EC194" s="71"/>
      <c r="ED194" s="71"/>
      <c r="EE194" s="71"/>
      <c r="EF194" s="71"/>
      <c r="EG194" s="71"/>
      <c r="EH194" s="71"/>
      <c r="EI194" s="71"/>
    </row>
    <row r="195" spans="1:139" s="48" customFormat="1" ht="39.75" customHeight="1">
      <c r="A195" s="60">
        <v>377</v>
      </c>
      <c r="B195" s="87">
        <v>40920</v>
      </c>
      <c r="C195" s="62">
        <v>40920.291666666664</v>
      </c>
      <c r="D195" s="129">
        <v>28144569</v>
      </c>
      <c r="E195" s="130" t="s">
        <v>898</v>
      </c>
      <c r="F195" s="48" t="b">
        <v>0</v>
      </c>
      <c r="G195" s="48" t="s">
        <v>1558</v>
      </c>
      <c r="H195" s="130" t="s">
        <v>418</v>
      </c>
      <c r="I195" s="134">
        <v>25234</v>
      </c>
      <c r="J195" s="110">
        <v>42.975342465753428</v>
      </c>
      <c r="K195" s="85">
        <v>515.64760026298484</v>
      </c>
      <c r="L195" s="130" t="s">
        <v>493</v>
      </c>
      <c r="M195" s="484" t="s">
        <v>899</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c r="AK195" s="324">
        <f t="shared" ref="AK195:AK258" si="6">IF(P195&gt;25,1,0)</f>
        <v>1</v>
      </c>
      <c r="AL195" s="187"/>
      <c r="AM195" s="191"/>
      <c r="AN195" s="51"/>
      <c r="AO195" s="61"/>
      <c r="AP195" s="60"/>
      <c r="AQ195" s="191"/>
      <c r="AR195" s="51"/>
      <c r="AS195" s="51"/>
      <c r="AT195" s="324"/>
      <c r="AU195" s="51"/>
      <c r="AV195" s="51"/>
      <c r="AW195" s="51"/>
      <c r="AX195" s="136" t="s">
        <v>900</v>
      </c>
      <c r="AY195" s="71"/>
      <c r="AZ195" s="71">
        <v>1</v>
      </c>
      <c r="BB195" s="82"/>
      <c r="BC195" s="82" t="e">
        <v>#REF!</v>
      </c>
      <c r="BD195" s="82"/>
      <c r="BE195" s="82"/>
      <c r="BF195" s="235"/>
      <c r="BG195" s="767"/>
      <c r="BH195" s="767"/>
      <c r="BI195" s="224">
        <v>1</v>
      </c>
      <c r="BJ195" s="71"/>
      <c r="BK195" s="71"/>
      <c r="BL195" s="71"/>
      <c r="BM195" s="71"/>
      <c r="BN195" s="71"/>
      <c r="BO195" s="71"/>
      <c r="BP195" s="71"/>
      <c r="BQ195" s="71"/>
      <c r="BR195" s="71"/>
      <c r="BS195" s="241" t="s">
        <v>148</v>
      </c>
      <c r="BT195" s="224"/>
      <c r="BU195" s="71"/>
      <c r="BV195" s="71"/>
      <c r="BW195" s="71"/>
      <c r="BX195" s="71"/>
      <c r="BY195" s="71"/>
      <c r="BZ195" s="71"/>
      <c r="CA195" s="71" t="e">
        <v>#REF!</v>
      </c>
      <c r="CB195" s="86"/>
      <c r="CC195" s="86"/>
      <c r="CD195" s="86"/>
      <c r="CE195" s="86"/>
      <c r="CF195" s="86"/>
      <c r="CG195" s="71"/>
      <c r="CH195" s="71"/>
      <c r="CI195" s="71"/>
      <c r="CJ195" s="71">
        <v>0</v>
      </c>
      <c r="CK195" s="71">
        <v>0</v>
      </c>
      <c r="CL195" s="71"/>
      <c r="CP195" s="505"/>
      <c r="CQ195" s="505"/>
      <c r="CR195" s="87">
        <v>40917.655555555553</v>
      </c>
      <c r="CS195" s="87">
        <v>40940</v>
      </c>
      <c r="CT195" s="83">
        <v>20</v>
      </c>
      <c r="CU195" s="84"/>
      <c r="CV195" s="133"/>
      <c r="CW195" s="87"/>
      <c r="CX195" s="133"/>
      <c r="CY195" s="133"/>
      <c r="CZ195" s="133"/>
      <c r="DA195" s="87"/>
      <c r="DB195" s="133"/>
      <c r="DC195" s="87"/>
      <c r="DD195" s="133"/>
      <c r="DE195" s="87"/>
      <c r="DF195" s="133"/>
      <c r="DG195" s="87"/>
      <c r="DH195" s="87" t="s">
        <v>220</v>
      </c>
      <c r="DI195" s="71"/>
      <c r="DJ195" s="71">
        <v>0</v>
      </c>
      <c r="DK195" s="71"/>
      <c r="DL195" s="71"/>
      <c r="DM195" s="71"/>
      <c r="DN195" s="112"/>
      <c r="DO195" s="106" t="s">
        <v>821</v>
      </c>
      <c r="DP195" s="71"/>
      <c r="DQ195" s="71"/>
      <c r="DR195" s="71"/>
      <c r="DS195" s="71"/>
      <c r="DT195" s="71"/>
      <c r="DU195" s="71"/>
      <c r="DV195" s="71"/>
      <c r="DW195" s="71"/>
      <c r="DX195" s="71"/>
      <c r="DY195" s="71"/>
      <c r="DZ195" s="71"/>
      <c r="EA195" s="71"/>
      <c r="EB195" s="71"/>
      <c r="EC195" s="71"/>
      <c r="ED195" s="71"/>
      <c r="EE195" s="71"/>
      <c r="EF195" s="71"/>
      <c r="EG195" s="71"/>
      <c r="EH195" s="71"/>
      <c r="EI195" s="71"/>
    </row>
    <row r="196" spans="1:139" s="47" customFormat="1" ht="39.75" customHeight="1">
      <c r="A196" s="50">
        <v>379</v>
      </c>
      <c r="B196" s="258">
        <v>40885</v>
      </c>
      <c r="C196" s="55">
        <v>40885.621527777781</v>
      </c>
      <c r="D196" s="485">
        <v>27350523</v>
      </c>
      <c r="E196" s="486" t="s">
        <v>901</v>
      </c>
      <c r="F196" s="47" t="b">
        <v>1</v>
      </c>
      <c r="H196" s="487" t="s">
        <v>902</v>
      </c>
      <c r="I196" s="488">
        <v>29690</v>
      </c>
      <c r="J196" s="255">
        <v>30.671232876712327</v>
      </c>
      <c r="K196" s="181">
        <v>368.01446416831033</v>
      </c>
      <c r="L196" s="487" t="s">
        <v>493</v>
      </c>
      <c r="M196" s="489" t="s">
        <v>903</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v>0</v>
      </c>
      <c r="AK196" s="323">
        <f t="shared" si="6"/>
        <v>0</v>
      </c>
      <c r="AL196" s="186"/>
      <c r="AM196" s="58">
        <v>40883</v>
      </c>
      <c r="AN196" s="459" t="s">
        <v>1988</v>
      </c>
      <c r="AO196" s="54">
        <v>40912</v>
      </c>
      <c r="AP196" s="50" t="s">
        <v>223</v>
      </c>
      <c r="AQ196" s="58"/>
      <c r="AR196" s="52">
        <v>0</v>
      </c>
      <c r="AS196" s="52"/>
      <c r="AT196" s="323">
        <v>0</v>
      </c>
      <c r="AU196" s="52">
        <v>1</v>
      </c>
      <c r="AV196" s="52">
        <v>0</v>
      </c>
      <c r="AW196" s="52">
        <v>0</v>
      </c>
      <c r="AX196" s="491" t="s">
        <v>904</v>
      </c>
      <c r="AY196" s="70"/>
      <c r="AZ196" s="70" t="s">
        <v>1901</v>
      </c>
      <c r="BA196" s="47">
        <v>0</v>
      </c>
      <c r="BB196" s="69">
        <v>1</v>
      </c>
      <c r="BC196" s="69"/>
      <c r="BD196" s="69">
        <v>0</v>
      </c>
      <c r="BE196" s="69">
        <v>0</v>
      </c>
      <c r="BF196" s="234">
        <v>0</v>
      </c>
      <c r="BG196" s="766">
        <v>0</v>
      </c>
      <c r="BH196" s="766"/>
      <c r="BI196" s="492">
        <v>1</v>
      </c>
      <c r="BJ196" s="493"/>
      <c r="BK196" s="493">
        <v>0</v>
      </c>
      <c r="BL196" s="493"/>
      <c r="BM196" s="494">
        <v>1</v>
      </c>
      <c r="BN196" s="494" t="s">
        <v>1989</v>
      </c>
      <c r="BO196" s="494">
        <v>1</v>
      </c>
      <c r="BP196" s="494">
        <v>1</v>
      </c>
      <c r="BQ196" s="494">
        <v>1</v>
      </c>
      <c r="BR196" s="494">
        <v>0</v>
      </c>
      <c r="BS196" s="467">
        <v>0</v>
      </c>
      <c r="BT196" s="492">
        <v>0</v>
      </c>
      <c r="BU196" s="493"/>
      <c r="BV196" s="493">
        <v>0</v>
      </c>
      <c r="BW196" s="493">
        <v>0</v>
      </c>
      <c r="BX196" s="70">
        <v>0</v>
      </c>
      <c r="BY196" s="70"/>
      <c r="BZ196" s="70"/>
      <c r="CA196" s="70"/>
      <c r="CB196" s="77">
        <v>0</v>
      </c>
      <c r="CC196" s="77">
        <v>0</v>
      </c>
      <c r="CD196" s="77">
        <v>0</v>
      </c>
      <c r="CE196" s="77"/>
      <c r="CF196" s="77"/>
      <c r="CG196" s="493"/>
      <c r="CH196" s="70">
        <v>0</v>
      </c>
      <c r="CI196" s="70"/>
      <c r="CJ196" s="69">
        <v>0</v>
      </c>
      <c r="CK196" s="69">
        <v>0</v>
      </c>
      <c r="CL196" s="70">
        <v>0</v>
      </c>
      <c r="CM196" s="47">
        <v>96</v>
      </c>
      <c r="CN196" s="47">
        <v>70</v>
      </c>
      <c r="CP196" s="504">
        <v>28.8</v>
      </c>
      <c r="CQ196" s="504">
        <v>30.3</v>
      </c>
      <c r="CR196" s="258">
        <v>40882</v>
      </c>
      <c r="CS196" s="258">
        <v>40912</v>
      </c>
      <c r="CT196" s="78">
        <v>27</v>
      </c>
      <c r="CU196" s="79">
        <v>44160</v>
      </c>
      <c r="CV196" s="307">
        <v>0</v>
      </c>
      <c r="CW196" s="258"/>
      <c r="CX196" s="307">
        <v>0</v>
      </c>
      <c r="CY196" s="307">
        <v>0</v>
      </c>
      <c r="CZ196" s="307">
        <v>0</v>
      </c>
      <c r="DA196" s="258"/>
      <c r="DB196" s="307">
        <v>0</v>
      </c>
      <c r="DC196" s="258"/>
      <c r="DD196" s="307">
        <v>0</v>
      </c>
      <c r="DE196" s="258"/>
      <c r="DF196" s="307">
        <v>0</v>
      </c>
      <c r="DG196" s="258"/>
      <c r="DH196" s="258"/>
      <c r="DI196" s="70"/>
      <c r="DJ196" s="70">
        <v>0</v>
      </c>
      <c r="DK196" s="255"/>
      <c r="DL196" s="487"/>
      <c r="DM196" s="70"/>
      <c r="DN196" s="488"/>
      <c r="DO196" s="70"/>
      <c r="DP196" s="70"/>
      <c r="DQ196" s="70"/>
      <c r="DR196" s="70"/>
      <c r="DS196" s="70"/>
      <c r="DT196" s="70"/>
      <c r="DU196" s="70"/>
      <c r="DV196" s="70"/>
      <c r="DW196" s="70"/>
      <c r="DX196" s="70"/>
      <c r="DY196" s="70"/>
      <c r="DZ196" s="70"/>
      <c r="EA196" s="70"/>
      <c r="EB196" s="70"/>
      <c r="EC196" s="70"/>
      <c r="ED196" s="70"/>
      <c r="EE196" s="70"/>
      <c r="EF196" s="70"/>
      <c r="EG196" s="70"/>
      <c r="EH196" s="70"/>
      <c r="EI196" s="70"/>
    </row>
    <row r="197" spans="1:139" s="48" customFormat="1" ht="39.75" customHeight="1">
      <c r="A197" s="60">
        <v>380</v>
      </c>
      <c r="B197" s="108">
        <v>40876</v>
      </c>
      <c r="C197" s="62">
        <v>40876.792361111111</v>
      </c>
      <c r="D197" s="137">
        <v>1056562</v>
      </c>
      <c r="E197" s="138" t="s">
        <v>905</v>
      </c>
      <c r="F197" s="48" t="b">
        <v>0</v>
      </c>
      <c r="G197" s="48" t="s">
        <v>1487</v>
      </c>
      <c r="H197" s="138" t="s">
        <v>902</v>
      </c>
      <c r="I197" s="134" t="s">
        <v>906</v>
      </c>
      <c r="J197" s="110">
        <v>75.331506849315062</v>
      </c>
      <c r="K197" s="85">
        <v>903.87902695594994</v>
      </c>
      <c r="L197" s="138" t="s">
        <v>442</v>
      </c>
      <c r="M197" s="495" t="s">
        <v>907</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497"/>
      <c r="AK197" s="324">
        <f t="shared" si="6"/>
        <v>0</v>
      </c>
      <c r="AL197" s="495"/>
      <c r="AM197" s="498"/>
      <c r="AN197" s="138"/>
      <c r="AO197" s="61"/>
      <c r="AP197" s="143"/>
      <c r="AQ197" s="498"/>
      <c r="AR197" s="138"/>
      <c r="AS197" s="138"/>
      <c r="AT197" s="497"/>
      <c r="AU197" s="138"/>
      <c r="AV197" s="138"/>
      <c r="AW197" s="138"/>
      <c r="AX197" s="138" t="s">
        <v>908</v>
      </c>
      <c r="AY197" s="71"/>
      <c r="AZ197" s="71">
        <v>1</v>
      </c>
      <c r="BB197" s="82"/>
      <c r="BC197" s="82"/>
      <c r="BD197" s="82"/>
      <c r="BE197" s="82"/>
      <c r="BF197" s="235"/>
      <c r="BG197" s="767"/>
      <c r="BH197" s="767"/>
      <c r="BI197" s="227"/>
      <c r="BJ197" s="140"/>
      <c r="BK197" s="140"/>
      <c r="BL197" s="140"/>
      <c r="BM197" s="140"/>
      <c r="BN197" s="140"/>
      <c r="BO197" s="140"/>
      <c r="BP197" s="140"/>
      <c r="BQ197" s="140"/>
      <c r="BR197" s="140"/>
      <c r="BS197" s="248"/>
      <c r="BT197" s="499" t="s">
        <v>245</v>
      </c>
      <c r="BU197" s="500"/>
      <c r="BV197" s="500"/>
      <c r="BW197" s="500"/>
      <c r="BX197" s="71"/>
      <c r="BY197" s="71"/>
      <c r="BZ197" s="71"/>
      <c r="CA197" s="71"/>
      <c r="CB197" s="71"/>
      <c r="CC197" s="71"/>
      <c r="CD197" s="71"/>
      <c r="CE197" s="71"/>
      <c r="CF197" s="71">
        <v>1</v>
      </c>
      <c r="CG197" s="140"/>
      <c r="CH197" s="71"/>
      <c r="CI197" s="71"/>
      <c r="CJ197" s="82">
        <v>0</v>
      </c>
      <c r="CK197" s="82">
        <v>0</v>
      </c>
      <c r="CL197" s="71"/>
      <c r="CP197" s="505"/>
      <c r="CQ197" s="505"/>
      <c r="CR197" s="108">
        <v>40872</v>
      </c>
      <c r="CS197" s="108">
        <v>41002</v>
      </c>
      <c r="CT197" s="83">
        <v>126</v>
      </c>
      <c r="CU197" s="84"/>
      <c r="CV197" s="109"/>
      <c r="CW197" s="108"/>
      <c r="CX197" s="109"/>
      <c r="CY197" s="109"/>
      <c r="CZ197" s="109"/>
      <c r="DA197" s="108"/>
      <c r="DB197" s="109"/>
      <c r="DC197" s="108"/>
      <c r="DD197" s="109"/>
      <c r="DE197" s="108"/>
      <c r="DF197" s="109"/>
      <c r="DG197" s="108"/>
      <c r="DH197" s="108"/>
      <c r="DI197" s="71"/>
      <c r="DJ197" s="71">
        <v>1</v>
      </c>
      <c r="DK197" s="142">
        <v>4.1420118343195265</v>
      </c>
      <c r="DL197" s="71"/>
      <c r="DM197" s="138" t="b">
        <v>1</v>
      </c>
      <c r="DN197" s="134">
        <v>41002</v>
      </c>
      <c r="DO197" s="71" t="s">
        <v>909</v>
      </c>
      <c r="DP197" s="71"/>
      <c r="DQ197" s="71"/>
      <c r="DR197" s="71"/>
      <c r="DS197" s="71"/>
      <c r="DT197" s="71"/>
      <c r="DU197" s="71"/>
      <c r="DV197" s="71"/>
      <c r="DW197" s="71"/>
      <c r="DX197" s="71"/>
      <c r="DY197" s="71"/>
      <c r="DZ197" s="71"/>
      <c r="EA197" s="71"/>
      <c r="EB197" s="71"/>
      <c r="EC197" s="71"/>
      <c r="ED197" s="71"/>
      <c r="EE197" s="71"/>
      <c r="EF197" s="71"/>
      <c r="EG197" s="71"/>
      <c r="EH197" s="71"/>
      <c r="EI197" s="71"/>
    </row>
    <row r="198" spans="1:139" s="47" customFormat="1" ht="39.75" customHeight="1">
      <c r="A198" s="50">
        <v>383</v>
      </c>
      <c r="B198" s="258">
        <v>40830</v>
      </c>
      <c r="C198" s="55">
        <v>40830.811111111114</v>
      </c>
      <c r="D198" s="501">
        <v>27773944</v>
      </c>
      <c r="E198" s="487" t="s">
        <v>910</v>
      </c>
      <c r="F198" s="47" t="b">
        <v>1</v>
      </c>
      <c r="H198" s="487" t="s">
        <v>902</v>
      </c>
      <c r="I198" s="488" t="s">
        <v>911</v>
      </c>
      <c r="J198" s="255">
        <v>34.12054794520548</v>
      </c>
      <c r="K198" s="181">
        <v>409.40170940170935</v>
      </c>
      <c r="L198" s="487" t="s">
        <v>442</v>
      </c>
      <c r="M198" s="502" t="s">
        <v>912</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v>0</v>
      </c>
      <c r="AK198" s="323">
        <f t="shared" si="6"/>
        <v>0</v>
      </c>
      <c r="AL198" s="186"/>
      <c r="AM198" s="58">
        <v>40830</v>
      </c>
      <c r="AN198" s="52" t="s">
        <v>1990</v>
      </c>
      <c r="AO198" s="54">
        <v>40872</v>
      </c>
      <c r="AP198" s="50" t="s">
        <v>409</v>
      </c>
      <c r="AQ198" s="58">
        <v>40827</v>
      </c>
      <c r="AR198" s="52">
        <v>0</v>
      </c>
      <c r="AS198" s="52"/>
      <c r="AT198" s="323">
        <v>0</v>
      </c>
      <c r="AU198" s="52">
        <v>1</v>
      </c>
      <c r="AV198" s="52">
        <v>0</v>
      </c>
      <c r="AW198" s="52">
        <v>1</v>
      </c>
      <c r="AX198" s="487" t="s">
        <v>913</v>
      </c>
      <c r="AY198" s="70"/>
      <c r="AZ198" s="70" t="s">
        <v>1901</v>
      </c>
      <c r="BA198" s="47">
        <v>0</v>
      </c>
      <c r="BB198" s="69">
        <v>1</v>
      </c>
      <c r="BC198" s="69"/>
      <c r="BD198" s="69">
        <v>1</v>
      </c>
      <c r="BE198" s="69">
        <v>0</v>
      </c>
      <c r="BF198" s="234">
        <v>1</v>
      </c>
      <c r="BG198" s="766">
        <v>0</v>
      </c>
      <c r="BH198" s="766"/>
      <c r="BI198" s="492">
        <v>1</v>
      </c>
      <c r="BJ198" s="493"/>
      <c r="BK198" s="493">
        <v>1</v>
      </c>
      <c r="BL198" s="493" t="s">
        <v>1991</v>
      </c>
      <c r="BM198" s="494">
        <v>1</v>
      </c>
      <c r="BN198" s="494" t="s">
        <v>1992</v>
      </c>
      <c r="BO198" s="494">
        <v>0</v>
      </c>
      <c r="BP198" s="494">
        <v>0</v>
      </c>
      <c r="BQ198" s="494">
        <v>1</v>
      </c>
      <c r="BR198" s="494">
        <v>1</v>
      </c>
      <c r="BS198" s="467">
        <v>1</v>
      </c>
      <c r="BT198" s="492">
        <v>0</v>
      </c>
      <c r="BU198" s="493"/>
      <c r="BV198" s="493">
        <v>0</v>
      </c>
      <c r="BW198" s="493">
        <v>0</v>
      </c>
      <c r="BX198" s="70">
        <v>0</v>
      </c>
      <c r="BY198" s="70"/>
      <c r="BZ198" s="70"/>
      <c r="CA198" s="70"/>
      <c r="CB198" s="77">
        <v>0</v>
      </c>
      <c r="CC198" s="77">
        <v>0</v>
      </c>
      <c r="CD198" s="77">
        <v>0</v>
      </c>
      <c r="CE198" s="77"/>
      <c r="CF198" s="77"/>
      <c r="CG198" s="493"/>
      <c r="CH198" s="70">
        <v>1</v>
      </c>
      <c r="CI198" s="70" t="s">
        <v>1918</v>
      </c>
      <c r="CJ198" s="69">
        <v>0</v>
      </c>
      <c r="CK198" s="69">
        <v>0</v>
      </c>
      <c r="CL198" s="70">
        <v>0</v>
      </c>
      <c r="CM198" s="47">
        <v>225</v>
      </c>
      <c r="CN198" s="47">
        <v>198</v>
      </c>
      <c r="CP198" s="504">
        <v>30.7</v>
      </c>
      <c r="CQ198" s="504">
        <v>31.4</v>
      </c>
      <c r="CR198" s="258">
        <v>40829</v>
      </c>
      <c r="CS198" s="258">
        <v>40872</v>
      </c>
      <c r="CT198" s="78">
        <v>42</v>
      </c>
      <c r="CU198" s="79">
        <v>44207</v>
      </c>
      <c r="CV198" s="307">
        <v>0</v>
      </c>
      <c r="CW198" s="258"/>
      <c r="CX198" s="307">
        <v>0</v>
      </c>
      <c r="CY198" s="307">
        <v>0</v>
      </c>
      <c r="CZ198" s="307">
        <v>0</v>
      </c>
      <c r="DA198" s="258"/>
      <c r="DB198" s="307">
        <v>0</v>
      </c>
      <c r="DC198" s="258"/>
      <c r="DD198" s="307">
        <v>0</v>
      </c>
      <c r="DE198" s="258"/>
      <c r="DF198" s="307">
        <v>0</v>
      </c>
      <c r="DG198" s="258"/>
      <c r="DH198" s="258"/>
      <c r="DI198" s="70"/>
      <c r="DJ198" s="70">
        <v>0</v>
      </c>
      <c r="DK198" s="255"/>
      <c r="DL198" s="487"/>
      <c r="DM198" s="70"/>
      <c r="DN198" s="488" t="s">
        <v>821</v>
      </c>
      <c r="DO198" s="70"/>
      <c r="DP198" s="70"/>
      <c r="DQ198" s="70"/>
      <c r="DR198" s="70"/>
      <c r="DS198" s="70"/>
      <c r="DT198" s="70"/>
      <c r="DU198" s="70"/>
      <c r="DV198" s="70"/>
      <c r="DW198" s="70"/>
      <c r="DX198" s="70"/>
      <c r="DY198" s="70"/>
      <c r="DZ198" s="70"/>
      <c r="EA198" s="70"/>
      <c r="EB198" s="70"/>
      <c r="EC198" s="70"/>
      <c r="ED198" s="70"/>
      <c r="EE198" s="70"/>
      <c r="EF198" s="70"/>
      <c r="EG198" s="70"/>
      <c r="EH198" s="70"/>
      <c r="EI198" s="70"/>
    </row>
    <row r="199" spans="1:139" s="47" customFormat="1" ht="39.75" customHeight="1">
      <c r="A199" s="50">
        <v>386</v>
      </c>
      <c r="B199" s="258">
        <v>40778</v>
      </c>
      <c r="C199" s="55">
        <v>40778.668749999997</v>
      </c>
      <c r="D199" s="501">
        <v>22444490</v>
      </c>
      <c r="E199" s="487" t="s">
        <v>914</v>
      </c>
      <c r="F199" s="47" t="b">
        <v>1</v>
      </c>
      <c r="H199" s="487" t="s">
        <v>902</v>
      </c>
      <c r="I199" s="488" t="s">
        <v>915</v>
      </c>
      <c r="J199" s="255">
        <v>70.646575342465752</v>
      </c>
      <c r="K199" s="181">
        <v>847.6660092044707</v>
      </c>
      <c r="L199" s="487" t="s">
        <v>493</v>
      </c>
      <c r="M199" s="502" t="s">
        <v>916</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v>0</v>
      </c>
      <c r="AK199" s="323">
        <f t="shared" si="6"/>
        <v>1</v>
      </c>
      <c r="AL199" s="186"/>
      <c r="AM199" s="58">
        <v>40772</v>
      </c>
      <c r="AN199" s="52" t="s">
        <v>1971</v>
      </c>
      <c r="AO199" s="54">
        <v>40784</v>
      </c>
      <c r="AP199" s="50" t="s">
        <v>1907</v>
      </c>
      <c r="AQ199" s="58"/>
      <c r="AR199" s="52">
        <v>0</v>
      </c>
      <c r="AS199" s="52"/>
      <c r="AT199" s="323">
        <v>0</v>
      </c>
      <c r="AU199" s="52">
        <v>1</v>
      </c>
      <c r="AV199" s="52">
        <v>0</v>
      </c>
      <c r="AW199" s="52">
        <v>1</v>
      </c>
      <c r="AX199" s="487" t="s">
        <v>917</v>
      </c>
      <c r="AY199" s="70"/>
      <c r="AZ199" s="70" t="s">
        <v>1503</v>
      </c>
      <c r="BA199" s="47">
        <v>0</v>
      </c>
      <c r="BB199" s="69">
        <v>1</v>
      </c>
      <c r="BC199" s="69"/>
      <c r="BD199" s="69">
        <v>0</v>
      </c>
      <c r="BE199" s="69">
        <v>0</v>
      </c>
      <c r="BF199" s="234">
        <v>0</v>
      </c>
      <c r="BG199" s="766">
        <v>0</v>
      </c>
      <c r="BH199" s="766"/>
      <c r="BI199" s="492">
        <v>1</v>
      </c>
      <c r="BJ199" s="493"/>
      <c r="BK199" s="493">
        <v>1</v>
      </c>
      <c r="BL199" s="493" t="s">
        <v>1991</v>
      </c>
      <c r="BM199" s="493">
        <v>1</v>
      </c>
      <c r="BN199" s="493" t="s">
        <v>1993</v>
      </c>
      <c r="BO199" s="493">
        <v>0</v>
      </c>
      <c r="BP199" s="493">
        <v>0</v>
      </c>
      <c r="BQ199" s="493">
        <v>1</v>
      </c>
      <c r="BR199" s="493">
        <v>0</v>
      </c>
      <c r="BS199" s="467">
        <v>0</v>
      </c>
      <c r="BT199" s="492">
        <v>0</v>
      </c>
      <c r="BU199" s="493"/>
      <c r="BV199" s="493">
        <v>0</v>
      </c>
      <c r="BW199" s="493">
        <v>0</v>
      </c>
      <c r="BX199" s="70">
        <v>0</v>
      </c>
      <c r="BY199" s="70"/>
      <c r="BZ199" s="70"/>
      <c r="CA199" s="70"/>
      <c r="CB199" s="77">
        <v>0</v>
      </c>
      <c r="CC199" s="77">
        <v>0</v>
      </c>
      <c r="CD199" s="77">
        <v>0</v>
      </c>
      <c r="CE199" s="77"/>
      <c r="CF199" s="77"/>
      <c r="CG199" s="493"/>
      <c r="CH199" s="70">
        <v>0</v>
      </c>
      <c r="CI199" s="70"/>
      <c r="CJ199" s="69">
        <v>0</v>
      </c>
      <c r="CK199" s="69">
        <v>0</v>
      </c>
      <c r="CL199" s="70">
        <v>0</v>
      </c>
      <c r="CM199" s="47">
        <v>58</v>
      </c>
      <c r="CN199" s="47">
        <v>42</v>
      </c>
      <c r="CP199" s="504">
        <v>31.5</v>
      </c>
      <c r="CQ199" s="504">
        <v>32</v>
      </c>
      <c r="CR199" s="258">
        <v>40772</v>
      </c>
      <c r="CS199" s="258">
        <v>40786</v>
      </c>
      <c r="CT199" s="78">
        <v>8</v>
      </c>
      <c r="CU199" s="79">
        <v>44315</v>
      </c>
      <c r="CV199" s="307">
        <v>0</v>
      </c>
      <c r="CW199" s="258"/>
      <c r="CX199" s="307">
        <v>0</v>
      </c>
      <c r="CY199" s="307">
        <v>0</v>
      </c>
      <c r="CZ199" s="307">
        <v>0</v>
      </c>
      <c r="DA199" s="258"/>
      <c r="DB199" s="307">
        <v>0</v>
      </c>
      <c r="DC199" s="258"/>
      <c r="DD199" s="307">
        <v>0</v>
      </c>
      <c r="DE199" s="258"/>
      <c r="DF199" s="307">
        <v>0</v>
      </c>
      <c r="DG199" s="258"/>
      <c r="DH199" s="455" t="s">
        <v>220</v>
      </c>
      <c r="DI199" s="70"/>
      <c r="DJ199" s="70">
        <v>0</v>
      </c>
      <c r="DK199" s="255"/>
      <c r="DL199" s="487"/>
      <c r="DM199" s="70"/>
      <c r="DN199" s="488" t="s">
        <v>821</v>
      </c>
      <c r="DO199" s="70"/>
      <c r="DP199" s="70"/>
      <c r="DQ199" s="70"/>
      <c r="DR199" s="70"/>
      <c r="DS199" s="70"/>
      <c r="DT199" s="70"/>
      <c r="DU199" s="70"/>
      <c r="DV199" s="70"/>
      <c r="DW199" s="70"/>
      <c r="DX199" s="70"/>
      <c r="DY199" s="70"/>
      <c r="DZ199" s="70"/>
      <c r="EA199" s="70"/>
      <c r="EB199" s="70"/>
      <c r="EC199" s="70"/>
      <c r="ED199" s="70"/>
      <c r="EE199" s="70"/>
      <c r="EF199" s="70"/>
      <c r="EG199" s="70"/>
      <c r="EH199" s="70"/>
      <c r="EI199" s="70"/>
    </row>
    <row r="200" spans="1:139" s="48" customFormat="1" ht="39.75" customHeight="1">
      <c r="A200" s="60">
        <v>389</v>
      </c>
      <c r="B200" s="108">
        <v>40772</v>
      </c>
      <c r="C200" s="62">
        <v>40772.561111111114</v>
      </c>
      <c r="D200" s="137">
        <v>27432728</v>
      </c>
      <c r="E200" s="138" t="s">
        <v>918</v>
      </c>
      <c r="F200" s="48" t="b">
        <v>0</v>
      </c>
      <c r="G200" s="48" t="s">
        <v>1558</v>
      </c>
      <c r="H200" s="138" t="s">
        <v>919</v>
      </c>
      <c r="I200" s="134" t="s">
        <v>920</v>
      </c>
      <c r="J200" s="110">
        <v>45.172602739726024</v>
      </c>
      <c r="K200" s="85">
        <v>542.01183431952654</v>
      </c>
      <c r="L200" s="138" t="s">
        <v>493</v>
      </c>
      <c r="M200" s="495" t="s">
        <v>921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c r="AK200" s="324">
        <f t="shared" si="6"/>
        <v>1</v>
      </c>
      <c r="AL200" s="187"/>
      <c r="AM200" s="191"/>
      <c r="AN200" s="51"/>
      <c r="AO200" s="61"/>
      <c r="AP200" s="60"/>
      <c r="AQ200" s="191"/>
      <c r="AR200" s="51"/>
      <c r="AS200" s="51"/>
      <c r="AT200" s="324"/>
      <c r="AU200" s="51"/>
      <c r="AV200" s="51"/>
      <c r="AW200" s="51"/>
      <c r="AX200" s="138" t="s">
        <v>922</v>
      </c>
      <c r="AY200" s="71"/>
      <c r="AZ200" s="71">
        <v>1</v>
      </c>
      <c r="BB200" s="82"/>
      <c r="BC200" s="82" t="e">
        <v>#REF!</v>
      </c>
      <c r="BD200" s="82"/>
      <c r="BE200" s="82"/>
      <c r="BF200" s="235"/>
      <c r="BG200" s="767"/>
      <c r="BH200" s="767"/>
      <c r="BI200" s="227">
        <v>1</v>
      </c>
      <c r="BJ200" s="140"/>
      <c r="BK200" s="140"/>
      <c r="BL200" s="140"/>
      <c r="BM200" s="140"/>
      <c r="BN200" s="140"/>
      <c r="BO200" s="140"/>
      <c r="BP200" s="140"/>
      <c r="BQ200" s="140"/>
      <c r="BR200" s="140"/>
      <c r="BS200" s="248" t="s">
        <v>148</v>
      </c>
      <c r="BT200" s="227"/>
      <c r="BU200" s="140"/>
      <c r="BV200" s="140"/>
      <c r="BW200" s="140"/>
      <c r="BX200" s="71"/>
      <c r="BY200" s="71"/>
      <c r="BZ200" s="71"/>
      <c r="CA200" s="71" t="e">
        <v>#REF!</v>
      </c>
      <c r="CB200" s="86"/>
      <c r="CC200" s="86"/>
      <c r="CD200" s="86"/>
      <c r="CE200" s="86"/>
      <c r="CF200" s="86">
        <v>1</v>
      </c>
      <c r="CG200" s="140"/>
      <c r="CH200" s="71"/>
      <c r="CI200" s="71"/>
      <c r="CJ200" s="82">
        <v>0</v>
      </c>
      <c r="CK200" s="82">
        <v>0</v>
      </c>
      <c r="CL200" s="71"/>
      <c r="CP200" s="505"/>
      <c r="CQ200" s="505"/>
      <c r="CR200" s="108">
        <v>40771</v>
      </c>
      <c r="CS200" s="108">
        <v>40782</v>
      </c>
      <c r="CT200" s="83">
        <v>10</v>
      </c>
      <c r="CU200" s="84"/>
      <c r="CV200" s="109"/>
      <c r="CW200" s="108"/>
      <c r="CX200" s="109"/>
      <c r="CY200" s="109"/>
      <c r="CZ200" s="109"/>
      <c r="DA200" s="108"/>
      <c r="DB200" s="109"/>
      <c r="DC200" s="108"/>
      <c r="DD200" s="109"/>
      <c r="DE200" s="108"/>
      <c r="DF200" s="109"/>
      <c r="DG200" s="108"/>
      <c r="DH200" s="87" t="s">
        <v>220</v>
      </c>
      <c r="DI200" s="71"/>
      <c r="DJ200" s="71">
        <v>0</v>
      </c>
      <c r="DK200" s="110"/>
      <c r="DL200" s="138"/>
      <c r="DM200" s="71"/>
      <c r="DN200" s="134" t="s">
        <v>821</v>
      </c>
      <c r="DO200" s="71"/>
      <c r="DP200" s="71"/>
      <c r="DQ200" s="71"/>
      <c r="DR200" s="71"/>
      <c r="DS200" s="71"/>
      <c r="DT200" s="71"/>
      <c r="DU200" s="71"/>
      <c r="DV200" s="71"/>
      <c r="DW200" s="71"/>
      <c r="DX200" s="71"/>
      <c r="DY200" s="71"/>
      <c r="DZ200" s="71"/>
      <c r="EA200" s="71"/>
      <c r="EB200" s="71"/>
      <c r="EC200" s="71"/>
      <c r="ED200" s="71"/>
      <c r="EE200" s="71"/>
      <c r="EF200" s="71"/>
      <c r="EG200" s="71"/>
      <c r="EH200" s="71"/>
      <c r="EI200" s="71"/>
    </row>
    <row r="201" spans="1:139" s="47" customFormat="1" ht="39.75" customHeight="1">
      <c r="A201" s="50">
        <v>392</v>
      </c>
      <c r="B201" s="258">
        <v>40753</v>
      </c>
      <c r="C201" s="55">
        <v>40753.70208333333</v>
      </c>
      <c r="D201" s="501">
        <v>27367802</v>
      </c>
      <c r="E201" s="487" t="s">
        <v>923</v>
      </c>
      <c r="F201" s="47" t="b">
        <v>1</v>
      </c>
      <c r="H201" s="487" t="s">
        <v>902</v>
      </c>
      <c r="I201" s="488" t="s">
        <v>924</v>
      </c>
      <c r="J201" s="255">
        <v>33.493150684931507</v>
      </c>
      <c r="K201" s="181">
        <v>401.8737672583826</v>
      </c>
      <c r="L201" s="487" t="s">
        <v>493</v>
      </c>
      <c r="M201" s="502" t="s">
        <v>925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v>0</v>
      </c>
      <c r="AK201" s="323">
        <f t="shared" si="6"/>
        <v>0</v>
      </c>
      <c r="AL201" s="186" t="s">
        <v>926</v>
      </c>
      <c r="AM201" s="58">
        <v>40751</v>
      </c>
      <c r="AN201" s="52" t="s">
        <v>1610</v>
      </c>
      <c r="AO201" s="54">
        <v>40794</v>
      </c>
      <c r="AP201" s="50" t="s">
        <v>260</v>
      </c>
      <c r="AQ201" s="58">
        <v>40752</v>
      </c>
      <c r="AR201" s="52">
        <v>1</v>
      </c>
      <c r="AS201" s="52" t="s">
        <v>927</v>
      </c>
      <c r="AT201" s="323">
        <v>0</v>
      </c>
      <c r="AU201" s="52">
        <v>0</v>
      </c>
      <c r="AV201" s="52">
        <v>0</v>
      </c>
      <c r="AW201" s="52">
        <v>1</v>
      </c>
      <c r="AX201" s="487" t="s">
        <v>928</v>
      </c>
      <c r="AY201" s="70"/>
      <c r="AZ201" s="70" t="s">
        <v>1507</v>
      </c>
      <c r="BA201" s="47">
        <v>0</v>
      </c>
      <c r="BB201" s="69">
        <v>1</v>
      </c>
      <c r="BC201" s="69"/>
      <c r="BD201" s="69">
        <v>0</v>
      </c>
      <c r="BE201" s="69">
        <v>0</v>
      </c>
      <c r="BF201" s="234">
        <v>0</v>
      </c>
      <c r="BG201" s="766">
        <v>0</v>
      </c>
      <c r="BH201" s="766"/>
      <c r="BI201" s="492">
        <v>1</v>
      </c>
      <c r="BK201" s="493">
        <v>1</v>
      </c>
      <c r="BL201" s="493" t="s">
        <v>1718</v>
      </c>
      <c r="BM201" s="494">
        <v>1</v>
      </c>
      <c r="BN201" s="494" t="s">
        <v>1994</v>
      </c>
      <c r="BO201" s="494">
        <v>0</v>
      </c>
      <c r="BP201" s="494">
        <v>0</v>
      </c>
      <c r="BQ201" s="494">
        <v>0</v>
      </c>
      <c r="BR201" s="494">
        <v>0</v>
      </c>
      <c r="BS201" s="467">
        <v>0</v>
      </c>
      <c r="BT201" s="492">
        <v>0</v>
      </c>
      <c r="BU201" s="493"/>
      <c r="BV201" s="493">
        <v>0</v>
      </c>
      <c r="BW201" s="493">
        <v>0</v>
      </c>
      <c r="BX201" s="70">
        <v>0</v>
      </c>
      <c r="BY201" s="70"/>
      <c r="BZ201" s="70"/>
      <c r="CA201" s="70"/>
      <c r="CB201" s="77">
        <v>0</v>
      </c>
      <c r="CC201" s="77">
        <v>0</v>
      </c>
      <c r="CD201" s="77">
        <v>0</v>
      </c>
      <c r="CE201" s="77"/>
      <c r="CF201" s="77"/>
      <c r="CG201" s="493"/>
      <c r="CH201" s="70">
        <v>0</v>
      </c>
      <c r="CI201" s="70"/>
      <c r="CJ201" s="69">
        <v>0</v>
      </c>
      <c r="CK201" s="69">
        <v>0</v>
      </c>
      <c r="CL201" s="70">
        <v>0</v>
      </c>
      <c r="CM201" s="47">
        <v>57</v>
      </c>
      <c r="CN201" s="47">
        <v>41</v>
      </c>
      <c r="CP201" s="504">
        <v>32</v>
      </c>
      <c r="CQ201" s="504">
        <v>33</v>
      </c>
      <c r="CR201" s="258">
        <v>40753</v>
      </c>
      <c r="CS201" s="258">
        <v>40795</v>
      </c>
      <c r="CT201" s="78">
        <v>42</v>
      </c>
      <c r="CU201" s="79">
        <v>41051</v>
      </c>
      <c r="CV201" s="307">
        <v>0</v>
      </c>
      <c r="CW201" s="258"/>
      <c r="CX201" s="307">
        <v>0</v>
      </c>
      <c r="CY201" s="307">
        <v>0</v>
      </c>
      <c r="CZ201" s="307">
        <v>0</v>
      </c>
      <c r="DA201" s="258"/>
      <c r="DB201" s="307">
        <v>0</v>
      </c>
      <c r="DC201" s="258"/>
      <c r="DD201" s="307">
        <v>0</v>
      </c>
      <c r="DE201" s="258"/>
      <c r="DF201" s="307">
        <v>0</v>
      </c>
      <c r="DG201" s="258"/>
      <c r="DH201" s="258"/>
      <c r="DI201" s="70"/>
      <c r="DJ201" s="70">
        <v>0</v>
      </c>
      <c r="DK201" s="255"/>
      <c r="DL201" s="487"/>
      <c r="DM201" s="70"/>
      <c r="DN201" s="488" t="s">
        <v>821</v>
      </c>
      <c r="DO201" s="70"/>
      <c r="DP201" s="70"/>
      <c r="DQ201" s="70"/>
      <c r="DR201" s="70"/>
      <c r="DS201" s="70"/>
      <c r="DT201" s="70"/>
      <c r="DU201" s="70"/>
      <c r="DV201" s="70"/>
      <c r="DW201" s="70"/>
      <c r="DX201" s="70"/>
      <c r="DY201" s="70"/>
      <c r="DZ201" s="70"/>
      <c r="EA201" s="70"/>
      <c r="EB201" s="70"/>
      <c r="EC201" s="70"/>
      <c r="ED201" s="70"/>
      <c r="EE201" s="70"/>
      <c r="EF201" s="70"/>
      <c r="EG201" s="70"/>
      <c r="EH201" s="70"/>
      <c r="EI201" s="70"/>
    </row>
    <row r="202" spans="1:139" s="196" customFormat="1" ht="39.75" customHeight="1">
      <c r="A202" s="90">
        <v>393</v>
      </c>
      <c r="B202" s="320">
        <v>40742</v>
      </c>
      <c r="C202" s="194">
        <v>40742.559027777781</v>
      </c>
      <c r="D202" s="509">
        <v>7393661</v>
      </c>
      <c r="E202" s="510" t="s">
        <v>929</v>
      </c>
      <c r="F202" s="196" t="s">
        <v>1590</v>
      </c>
      <c r="G202" s="196" t="s">
        <v>1730</v>
      </c>
      <c r="H202" s="510" t="s">
        <v>902</v>
      </c>
      <c r="I202" s="511" t="s">
        <v>930</v>
      </c>
      <c r="J202" s="259">
        <v>39.517808219178079</v>
      </c>
      <c r="K202" s="197">
        <v>474.1617357001972</v>
      </c>
      <c r="L202" s="510" t="s">
        <v>493</v>
      </c>
      <c r="M202" s="512" t="s">
        <v>931</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514"/>
      <c r="AK202" s="326">
        <f t="shared" si="6"/>
        <v>0</v>
      </c>
      <c r="AL202" s="512"/>
      <c r="AM202" s="515"/>
      <c r="AN202" s="510"/>
      <c r="AO202" s="88"/>
      <c r="AP202" s="516"/>
      <c r="AQ202" s="515"/>
      <c r="AR202" s="510"/>
      <c r="AS202" s="510"/>
      <c r="AT202" s="514"/>
      <c r="AU202" s="510"/>
      <c r="AV202" s="510"/>
      <c r="AW202" s="510"/>
      <c r="AX202" s="510" t="s">
        <v>932</v>
      </c>
      <c r="AY202" s="201">
        <v>1</v>
      </c>
      <c r="AZ202" s="201"/>
      <c r="BB202" s="203"/>
      <c r="BC202" s="203"/>
      <c r="BD202" s="203"/>
      <c r="BE202" s="203"/>
      <c r="BF202" s="236"/>
      <c r="BG202" s="768"/>
      <c r="BH202" s="768"/>
      <c r="BI202" s="517"/>
      <c r="BJ202" s="518"/>
      <c r="BK202" s="518"/>
      <c r="BL202" s="518"/>
      <c r="BM202" s="518"/>
      <c r="BN202" s="518"/>
      <c r="BO202" s="518"/>
      <c r="BP202" s="518"/>
      <c r="BQ202" s="518"/>
      <c r="BR202" s="518"/>
      <c r="BS202" s="519"/>
      <c r="BT202" s="517" t="s">
        <v>174</v>
      </c>
      <c r="BU202" s="518"/>
      <c r="BV202" s="518"/>
      <c r="BW202" s="518"/>
      <c r="BX202" s="201"/>
      <c r="BY202" s="201"/>
      <c r="BZ202" s="201"/>
      <c r="CA202" s="201"/>
      <c r="CB202" s="201"/>
      <c r="CC202" s="201"/>
      <c r="CD202" s="201"/>
      <c r="CE202" s="201"/>
      <c r="CF202" s="201">
        <v>1</v>
      </c>
      <c r="CG202" s="518"/>
      <c r="CH202" s="201"/>
      <c r="CI202" s="201"/>
      <c r="CJ202" s="203">
        <v>0</v>
      </c>
      <c r="CK202" s="203">
        <v>0</v>
      </c>
      <c r="CL202" s="201"/>
      <c r="CP202" s="506"/>
      <c r="CQ202" s="506"/>
      <c r="CR202" s="320">
        <v>40737</v>
      </c>
      <c r="CS202" s="320">
        <v>40771</v>
      </c>
      <c r="CT202" s="205">
        <v>29</v>
      </c>
      <c r="CU202" s="206"/>
      <c r="CV202" s="520"/>
      <c r="CW202" s="320"/>
      <c r="CX202" s="520"/>
      <c r="CY202" s="520"/>
      <c r="CZ202" s="520"/>
      <c r="DA202" s="320"/>
      <c r="DB202" s="520"/>
      <c r="DC202" s="320"/>
      <c r="DD202" s="520"/>
      <c r="DE202" s="320"/>
      <c r="DF202" s="520"/>
      <c r="DG202" s="320"/>
      <c r="DH202" s="320"/>
      <c r="DI202" s="201"/>
      <c r="DJ202" s="201">
        <v>0</v>
      </c>
      <c r="DK202" s="259"/>
      <c r="DL202" s="510"/>
      <c r="DM202" s="201"/>
      <c r="DN202" s="511" t="s">
        <v>821</v>
      </c>
      <c r="DO202" s="201"/>
      <c r="DP202" s="201"/>
      <c r="DQ202" s="201"/>
      <c r="DR202" s="201"/>
      <c r="DS202" s="201"/>
      <c r="DT202" s="201"/>
      <c r="DU202" s="201"/>
      <c r="DV202" s="201"/>
      <c r="DW202" s="201"/>
      <c r="DX202" s="201"/>
      <c r="DY202" s="201"/>
      <c r="DZ202" s="201"/>
      <c r="EA202" s="201"/>
      <c r="EB202" s="201"/>
      <c r="EC202" s="201"/>
      <c r="ED202" s="201"/>
      <c r="EE202" s="201"/>
      <c r="EF202" s="201"/>
      <c r="EG202" s="201"/>
      <c r="EH202" s="201"/>
      <c r="EI202" s="201"/>
    </row>
    <row r="203" spans="1:139" s="47" customFormat="1" ht="39.75" customHeight="1">
      <c r="A203" s="50">
        <v>394</v>
      </c>
      <c r="B203" s="258">
        <v>40738</v>
      </c>
      <c r="C203" s="55">
        <v>40738.304166666669</v>
      </c>
      <c r="D203" s="501">
        <v>11760541</v>
      </c>
      <c r="E203" s="487" t="s">
        <v>933</v>
      </c>
      <c r="F203" s="47" t="b">
        <v>1</v>
      </c>
      <c r="H203" s="487" t="s">
        <v>902</v>
      </c>
      <c r="I203" s="488" t="s">
        <v>934</v>
      </c>
      <c r="J203" s="255">
        <v>68.947945205479456</v>
      </c>
      <c r="K203" s="181">
        <v>827.28468113083488</v>
      </c>
      <c r="L203" s="487" t="s">
        <v>493</v>
      </c>
      <c r="M203" s="502" t="s">
        <v>935</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523">
        <v>0</v>
      </c>
      <c r="AK203" s="323">
        <f t="shared" si="6"/>
        <v>1</v>
      </c>
      <c r="AL203" s="502"/>
      <c r="AM203" s="521">
        <v>40721</v>
      </c>
      <c r="AN203" s="487" t="s">
        <v>1906</v>
      </c>
      <c r="AO203" s="54">
        <v>40766</v>
      </c>
      <c r="AP203" s="524" t="s">
        <v>1995</v>
      </c>
      <c r="AQ203" s="521">
        <v>40720</v>
      </c>
      <c r="AR203" s="487">
        <v>1</v>
      </c>
      <c r="AS203" s="487" t="s">
        <v>1518</v>
      </c>
      <c r="AT203" s="523">
        <v>0</v>
      </c>
      <c r="AU203" s="487">
        <v>0</v>
      </c>
      <c r="AV203" s="487">
        <v>1</v>
      </c>
      <c r="AW203" s="487">
        <v>1</v>
      </c>
      <c r="AX203" s="487" t="s">
        <v>936</v>
      </c>
      <c r="AY203" s="70"/>
      <c r="AZ203" s="70"/>
      <c r="BA203" s="47">
        <v>0</v>
      </c>
      <c r="BB203" s="69">
        <v>1</v>
      </c>
      <c r="BC203" s="69">
        <v>15</v>
      </c>
      <c r="BD203" s="69">
        <v>0</v>
      </c>
      <c r="BE203" s="69">
        <v>1</v>
      </c>
      <c r="BF203" s="234">
        <v>0</v>
      </c>
      <c r="BG203" s="766">
        <v>1</v>
      </c>
      <c r="BH203" s="766" t="s">
        <v>2004</v>
      </c>
      <c r="BI203" s="492">
        <v>0</v>
      </c>
      <c r="BJ203" s="493"/>
      <c r="BK203" s="493">
        <v>0</v>
      </c>
      <c r="BL203" s="493"/>
      <c r="BM203" s="493">
        <v>0</v>
      </c>
      <c r="BN203" s="493"/>
      <c r="BO203" s="493">
        <v>0</v>
      </c>
      <c r="BP203" s="493">
        <v>0</v>
      </c>
      <c r="BQ203" s="493">
        <v>0</v>
      </c>
      <c r="BR203" s="493">
        <v>0</v>
      </c>
      <c r="BS203" s="525">
        <v>0</v>
      </c>
      <c r="BT203" s="492">
        <v>1</v>
      </c>
      <c r="BU203" s="493" t="s">
        <v>1996</v>
      </c>
      <c r="BV203" s="493">
        <v>0</v>
      </c>
      <c r="BW203" s="493">
        <v>0</v>
      </c>
      <c r="BX203" s="70">
        <v>0</v>
      </c>
      <c r="BY203" s="70"/>
      <c r="BZ203" s="70"/>
      <c r="CA203" s="70"/>
      <c r="CB203" s="70">
        <v>0</v>
      </c>
      <c r="CC203" s="70">
        <v>0</v>
      </c>
      <c r="CD203" s="70">
        <v>0</v>
      </c>
      <c r="CE203" s="70"/>
      <c r="CF203" s="70"/>
      <c r="CG203" s="493"/>
      <c r="CH203" s="70">
        <v>0</v>
      </c>
      <c r="CI203" s="70"/>
      <c r="CJ203" s="69">
        <v>0</v>
      </c>
      <c r="CK203" s="69">
        <v>0</v>
      </c>
      <c r="CL203" s="70">
        <v>0</v>
      </c>
      <c r="CM203" s="47">
        <v>126</v>
      </c>
      <c r="CN203" s="47">
        <v>95</v>
      </c>
      <c r="CP203" s="504">
        <v>28</v>
      </c>
      <c r="CQ203" s="504">
        <v>30.4</v>
      </c>
      <c r="CR203" s="258">
        <v>40721</v>
      </c>
      <c r="CS203" s="258">
        <v>40772</v>
      </c>
      <c r="CT203" s="78">
        <v>34</v>
      </c>
      <c r="CU203" s="79">
        <v>40785</v>
      </c>
      <c r="CV203" s="307">
        <v>0</v>
      </c>
      <c r="CW203" s="258"/>
      <c r="CX203" s="307">
        <v>0</v>
      </c>
      <c r="CY203" s="307">
        <v>0</v>
      </c>
      <c r="CZ203" s="307">
        <v>0</v>
      </c>
      <c r="DA203" s="258"/>
      <c r="DB203" s="307">
        <v>0</v>
      </c>
      <c r="DC203" s="258"/>
      <c r="DD203" s="307">
        <v>0</v>
      </c>
      <c r="DE203" s="258"/>
      <c r="DF203" s="307">
        <v>0</v>
      </c>
      <c r="DG203" s="258"/>
      <c r="DH203" s="258"/>
      <c r="DI203" s="70"/>
      <c r="DJ203" s="70">
        <v>1</v>
      </c>
      <c r="DK203" s="430">
        <v>2.8928336620644313</v>
      </c>
      <c r="DL203" s="70"/>
      <c r="DM203" s="487" t="b">
        <v>1</v>
      </c>
      <c r="DN203" s="488">
        <v>40826</v>
      </c>
      <c r="DO203" s="70" t="s">
        <v>937</v>
      </c>
      <c r="DP203" s="70"/>
      <c r="DQ203" s="70"/>
      <c r="DR203" s="70"/>
      <c r="DS203" s="70"/>
      <c r="DT203" s="70"/>
      <c r="DU203" s="70"/>
      <c r="DV203" s="70"/>
      <c r="DW203" s="70"/>
      <c r="DX203" s="70"/>
      <c r="DY203" s="70"/>
      <c r="DZ203" s="70"/>
      <c r="EA203" s="70"/>
      <c r="EB203" s="70"/>
      <c r="EC203" s="70"/>
      <c r="ED203" s="70"/>
      <c r="EE203" s="70"/>
      <c r="EF203" s="70"/>
      <c r="EG203" s="70"/>
      <c r="EH203" s="70"/>
      <c r="EI203" s="70"/>
    </row>
    <row r="204" spans="1:139" s="47" customFormat="1" ht="39.75" customHeight="1">
      <c r="A204" s="50">
        <v>397</v>
      </c>
      <c r="B204" s="258">
        <v>40694</v>
      </c>
      <c r="C204" s="55">
        <v>40694.302083333336</v>
      </c>
      <c r="D204" s="501">
        <v>2410938</v>
      </c>
      <c r="E204" s="487" t="s">
        <v>938</v>
      </c>
      <c r="F204" s="47" t="b">
        <v>1</v>
      </c>
      <c r="H204" s="487" t="s">
        <v>902</v>
      </c>
      <c r="I204" s="488" t="s">
        <v>939</v>
      </c>
      <c r="J204" s="255">
        <v>50.6</v>
      </c>
      <c r="K204" s="181">
        <v>607.13346482577253</v>
      </c>
      <c r="L204" s="487" t="s">
        <v>419</v>
      </c>
      <c r="M204" s="502" t="s">
        <v>940</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523">
        <v>1</v>
      </c>
      <c r="AK204" s="323">
        <f t="shared" si="6"/>
        <v>1</v>
      </c>
      <c r="AL204" s="502" t="s">
        <v>1997</v>
      </c>
      <c r="AM204" s="521">
        <v>40688</v>
      </c>
      <c r="AN204" s="487" t="s">
        <v>1906</v>
      </c>
      <c r="AO204" s="54">
        <v>40722</v>
      </c>
      <c r="AP204" s="524" t="s">
        <v>1998</v>
      </c>
      <c r="AQ204" s="521">
        <v>40694</v>
      </c>
      <c r="AR204" s="487">
        <v>0</v>
      </c>
      <c r="AS204" s="487"/>
      <c r="AT204" s="523">
        <v>0</v>
      </c>
      <c r="AU204" s="487">
        <v>0</v>
      </c>
      <c r="AV204" s="487">
        <v>0</v>
      </c>
      <c r="AW204" s="487">
        <v>1</v>
      </c>
      <c r="AX204" s="487" t="s">
        <v>941</v>
      </c>
      <c r="AY204" s="70" t="s">
        <v>1537</v>
      </c>
      <c r="AZ204" s="70"/>
      <c r="BA204" s="47">
        <v>0</v>
      </c>
      <c r="BB204" s="69">
        <v>1</v>
      </c>
      <c r="BC204" s="69"/>
      <c r="BD204" s="69">
        <v>0</v>
      </c>
      <c r="BE204" s="69">
        <v>0</v>
      </c>
      <c r="BF204" s="234">
        <v>0</v>
      </c>
      <c r="BG204" s="766">
        <v>0</v>
      </c>
      <c r="BH204" s="766"/>
      <c r="BI204" s="492">
        <v>0</v>
      </c>
      <c r="BJ204" s="493"/>
      <c r="BK204" s="493">
        <v>0</v>
      </c>
      <c r="BL204" s="493"/>
      <c r="BM204" s="493">
        <v>0</v>
      </c>
      <c r="BN204" s="493"/>
      <c r="BO204" s="493">
        <v>0</v>
      </c>
      <c r="BP204" s="493">
        <v>0</v>
      </c>
      <c r="BQ204" s="493">
        <v>0</v>
      </c>
      <c r="BR204" s="493">
        <v>0</v>
      </c>
      <c r="BS204" s="525">
        <v>0</v>
      </c>
      <c r="BT204" s="492">
        <v>1</v>
      </c>
      <c r="BU204" s="493" t="s">
        <v>1999</v>
      </c>
      <c r="BV204" s="493">
        <v>0</v>
      </c>
      <c r="BW204" s="493">
        <v>0</v>
      </c>
      <c r="BX204" s="70">
        <v>0</v>
      </c>
      <c r="BY204" s="70"/>
      <c r="BZ204" s="70"/>
      <c r="CA204" s="70"/>
      <c r="CB204" s="70">
        <v>0</v>
      </c>
      <c r="CC204" s="70">
        <v>0</v>
      </c>
      <c r="CD204" s="70">
        <v>0</v>
      </c>
      <c r="CE204" s="70"/>
      <c r="CF204" s="70"/>
      <c r="CG204" s="493"/>
      <c r="CH204" s="70">
        <v>0</v>
      </c>
      <c r="CI204" s="70"/>
      <c r="CJ204" s="69">
        <v>0</v>
      </c>
      <c r="CK204" s="69">
        <v>0</v>
      </c>
      <c r="CL204" s="70">
        <v>0</v>
      </c>
      <c r="CM204" s="47">
        <v>120</v>
      </c>
      <c r="CN204" s="47">
        <v>90</v>
      </c>
      <c r="CP204" s="504">
        <v>28.9</v>
      </c>
      <c r="CQ204" s="504">
        <v>29.8</v>
      </c>
      <c r="CR204" s="258">
        <v>40687</v>
      </c>
      <c r="CS204" s="258">
        <v>40723</v>
      </c>
      <c r="CT204" s="78">
        <v>29</v>
      </c>
      <c r="CU204" s="79">
        <v>44334</v>
      </c>
      <c r="CV204" s="307">
        <v>0</v>
      </c>
      <c r="CW204" s="258"/>
      <c r="CX204" s="307">
        <v>0</v>
      </c>
      <c r="CY204" s="307">
        <v>0</v>
      </c>
      <c r="CZ204" s="307">
        <v>0</v>
      </c>
      <c r="DA204" s="258"/>
      <c r="DB204" s="307">
        <v>0</v>
      </c>
      <c r="DC204" s="258"/>
      <c r="DD204" s="307">
        <v>0</v>
      </c>
      <c r="DE204" s="258"/>
      <c r="DF204" s="307">
        <v>0</v>
      </c>
      <c r="DG204" s="258"/>
      <c r="DH204" s="258"/>
      <c r="DI204" s="70"/>
      <c r="DJ204" s="70">
        <v>0</v>
      </c>
      <c r="DK204" s="255"/>
      <c r="DL204" s="487"/>
      <c r="DM204" s="70"/>
      <c r="DN204" s="488" t="s">
        <v>821</v>
      </c>
      <c r="DO204" s="70"/>
      <c r="DP204" s="70"/>
      <c r="DQ204" s="70"/>
      <c r="DR204" s="70"/>
      <c r="DS204" s="70"/>
      <c r="DT204" s="70"/>
      <c r="DU204" s="70"/>
      <c r="DV204" s="70"/>
      <c r="DW204" s="70"/>
      <c r="DX204" s="70"/>
      <c r="DY204" s="70"/>
      <c r="DZ204" s="70"/>
      <c r="EA204" s="70"/>
      <c r="EB204" s="70"/>
      <c r="EC204" s="70"/>
      <c r="ED204" s="70"/>
      <c r="EE204" s="70"/>
      <c r="EF204" s="70"/>
      <c r="EG204" s="70"/>
      <c r="EH204" s="70"/>
      <c r="EI204" s="70"/>
    </row>
    <row r="205" spans="1:139" s="47" customFormat="1" ht="39.75" customHeight="1">
      <c r="A205" s="50">
        <v>398</v>
      </c>
      <c r="B205" s="526">
        <v>40687</v>
      </c>
      <c r="C205" s="55">
        <v>40687.301388888889</v>
      </c>
      <c r="D205" s="485">
        <v>26992207</v>
      </c>
      <c r="E205" s="486" t="s">
        <v>942</v>
      </c>
      <c r="F205" s="47" t="b">
        <v>1</v>
      </c>
      <c r="H205" s="487" t="s">
        <v>902</v>
      </c>
      <c r="I205" s="488">
        <v>30726</v>
      </c>
      <c r="J205" s="255">
        <v>27.290410958904111</v>
      </c>
      <c r="K205" s="181">
        <v>327.44904667981586</v>
      </c>
      <c r="L205" s="487" t="s">
        <v>500</v>
      </c>
      <c r="M205" s="489" t="s">
        <v>943</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v>1</v>
      </c>
      <c r="AK205" s="323">
        <f t="shared" si="6"/>
        <v>0</v>
      </c>
      <c r="AL205" s="186" t="s">
        <v>944</v>
      </c>
      <c r="AM205" s="58">
        <v>40676</v>
      </c>
      <c r="AN205" s="487" t="s">
        <v>1906</v>
      </c>
      <c r="AO205" s="54"/>
      <c r="AP205" s="50" t="s">
        <v>223</v>
      </c>
      <c r="AQ205" s="58"/>
      <c r="AR205" s="52">
        <v>1</v>
      </c>
      <c r="AS205" s="52" t="s">
        <v>945</v>
      </c>
      <c r="AT205" s="323">
        <v>0</v>
      </c>
      <c r="AU205" s="52">
        <v>1</v>
      </c>
      <c r="AV205" s="52">
        <v>0</v>
      </c>
      <c r="AW205" s="52">
        <v>1</v>
      </c>
      <c r="AX205" s="491" t="s">
        <v>946</v>
      </c>
      <c r="AY205" s="70"/>
      <c r="AZ205" s="70" t="s">
        <v>1503</v>
      </c>
      <c r="BA205" s="47">
        <v>0</v>
      </c>
      <c r="BB205" s="69">
        <v>1</v>
      </c>
      <c r="BC205" s="69">
        <v>15</v>
      </c>
      <c r="BD205" s="69">
        <v>1</v>
      </c>
      <c r="BE205" s="69">
        <v>0</v>
      </c>
      <c r="BF205" s="234">
        <v>0</v>
      </c>
      <c r="BG205" s="766">
        <v>0</v>
      </c>
      <c r="BH205" s="766"/>
      <c r="BI205" s="492">
        <v>1</v>
      </c>
      <c r="BJ205" s="493"/>
      <c r="BK205" s="493">
        <v>1</v>
      </c>
      <c r="BL205" s="493" t="s">
        <v>2001</v>
      </c>
      <c r="BM205" s="493">
        <v>1</v>
      </c>
      <c r="BN205" s="494" t="s">
        <v>2002</v>
      </c>
      <c r="BO205" s="493">
        <v>0</v>
      </c>
      <c r="BP205" s="493">
        <v>1</v>
      </c>
      <c r="BQ205" s="493">
        <v>0</v>
      </c>
      <c r="BR205" s="493">
        <v>1</v>
      </c>
      <c r="BS205" s="525">
        <v>0</v>
      </c>
      <c r="BT205" s="492">
        <v>0</v>
      </c>
      <c r="BU205" s="493"/>
      <c r="BV205" s="493">
        <v>0</v>
      </c>
      <c r="BW205" s="493">
        <v>0</v>
      </c>
      <c r="BX205" s="70">
        <v>0</v>
      </c>
      <c r="BY205" s="70"/>
      <c r="BZ205" s="70"/>
      <c r="CA205" s="70"/>
      <c r="CB205" s="77">
        <v>0</v>
      </c>
      <c r="CC205" s="77">
        <v>0</v>
      </c>
      <c r="CD205" s="77">
        <v>0</v>
      </c>
      <c r="CE205" s="77"/>
      <c r="CF205" s="77"/>
      <c r="CG205" s="493"/>
      <c r="CH205" s="70">
        <v>0</v>
      </c>
      <c r="CI205" s="70"/>
      <c r="CJ205" s="69">
        <v>0</v>
      </c>
      <c r="CK205" s="69">
        <v>0</v>
      </c>
      <c r="CL205" s="70">
        <v>0</v>
      </c>
      <c r="CM205" s="47">
        <v>210</v>
      </c>
      <c r="CN205" s="47">
        <v>156</v>
      </c>
      <c r="CP205" s="504">
        <v>29</v>
      </c>
      <c r="CQ205" s="504">
        <v>30.5</v>
      </c>
      <c r="CR205" s="258">
        <v>40685</v>
      </c>
      <c r="CS205" s="258">
        <v>40730</v>
      </c>
      <c r="CT205" s="78">
        <v>43</v>
      </c>
      <c r="CU205" s="79">
        <v>44301</v>
      </c>
      <c r="CV205" s="307">
        <v>0</v>
      </c>
      <c r="CW205" s="258"/>
      <c r="CX205" s="307">
        <v>0</v>
      </c>
      <c r="CY205" s="307">
        <v>0</v>
      </c>
      <c r="CZ205" s="307">
        <v>0</v>
      </c>
      <c r="DA205" s="258"/>
      <c r="DB205" s="307">
        <v>0</v>
      </c>
      <c r="DC205" s="258"/>
      <c r="DD205" s="307">
        <v>0</v>
      </c>
      <c r="DE205" s="258"/>
      <c r="DF205" s="307">
        <v>0</v>
      </c>
      <c r="DG205" s="258"/>
      <c r="DH205" s="258"/>
      <c r="DI205" s="70"/>
      <c r="DJ205" s="70">
        <v>0</v>
      </c>
      <c r="DK205" s="255"/>
      <c r="DL205" s="487"/>
      <c r="DM205" s="70"/>
      <c r="DN205" s="488"/>
      <c r="DO205" s="70"/>
      <c r="DP205" s="70"/>
      <c r="DQ205" s="70"/>
      <c r="DR205" s="70"/>
      <c r="DS205" s="70"/>
      <c r="DT205" s="70"/>
      <c r="DU205" s="70"/>
      <c r="DV205" s="70"/>
      <c r="DW205" s="70"/>
      <c r="DX205" s="70"/>
      <c r="DY205" s="70"/>
      <c r="DZ205" s="70"/>
      <c r="EA205" s="70"/>
      <c r="EB205" s="70"/>
      <c r="EC205" s="70"/>
      <c r="ED205" s="70"/>
      <c r="EE205" s="70"/>
      <c r="EF205" s="70"/>
      <c r="EG205" s="70"/>
      <c r="EH205" s="70"/>
      <c r="EI205" s="70"/>
    </row>
    <row r="206" spans="1:139" s="47" customFormat="1" ht="39.75" customHeight="1">
      <c r="A206" s="50">
        <v>401</v>
      </c>
      <c r="B206" s="258">
        <v>40651</v>
      </c>
      <c r="C206" s="55">
        <v>40651.433333333334</v>
      </c>
      <c r="D206" s="501">
        <v>26683989</v>
      </c>
      <c r="E206" s="487" t="s">
        <v>947</v>
      </c>
      <c r="F206" s="47" t="b">
        <v>1</v>
      </c>
      <c r="H206" s="487" t="s">
        <v>919</v>
      </c>
      <c r="I206" s="488" t="s">
        <v>948</v>
      </c>
      <c r="J206" s="255">
        <v>71.052054794520544</v>
      </c>
      <c r="K206" s="181">
        <v>852.5312294543063</v>
      </c>
      <c r="L206" s="487" t="s">
        <v>493</v>
      </c>
      <c r="M206" s="502" t="s">
        <v>949</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523">
        <v>0</v>
      </c>
      <c r="AK206" s="323">
        <f t="shared" si="6"/>
        <v>1</v>
      </c>
      <c r="AL206" s="502" t="s">
        <v>2003</v>
      </c>
      <c r="AM206" s="521">
        <v>40621</v>
      </c>
      <c r="AN206" s="487" t="s">
        <v>1536</v>
      </c>
      <c r="AO206" s="54">
        <v>40693</v>
      </c>
      <c r="AP206" s="524" t="s">
        <v>1531</v>
      </c>
      <c r="AQ206" s="521">
        <v>40621</v>
      </c>
      <c r="AR206" s="487">
        <v>0</v>
      </c>
      <c r="AS206" s="487"/>
      <c r="AT206" s="523">
        <v>0</v>
      </c>
      <c r="AU206" s="487">
        <v>1</v>
      </c>
      <c r="AV206" s="487">
        <v>0</v>
      </c>
      <c r="AW206" s="487">
        <v>1</v>
      </c>
      <c r="AX206" s="487" t="s">
        <v>950</v>
      </c>
      <c r="AY206" s="70"/>
      <c r="AZ206" s="70" t="s">
        <v>1503</v>
      </c>
      <c r="BA206" s="47">
        <v>0</v>
      </c>
      <c r="BB206" s="69">
        <v>1</v>
      </c>
      <c r="BC206" s="69"/>
      <c r="BD206" s="69">
        <v>1</v>
      </c>
      <c r="BE206" s="69">
        <v>1</v>
      </c>
      <c r="BF206" s="234">
        <v>1</v>
      </c>
      <c r="BG206" s="766">
        <v>0</v>
      </c>
      <c r="BH206" s="766"/>
      <c r="BI206" s="492">
        <v>0</v>
      </c>
      <c r="BJ206" s="493"/>
      <c r="BK206" s="493">
        <v>0</v>
      </c>
      <c r="BL206" s="493"/>
      <c r="BM206" s="493">
        <v>0</v>
      </c>
      <c r="BN206" s="493"/>
      <c r="BO206" s="493">
        <v>0</v>
      </c>
      <c r="BP206" s="493">
        <v>0</v>
      </c>
      <c r="BQ206" s="493">
        <v>0</v>
      </c>
      <c r="BR206" s="493">
        <v>0</v>
      </c>
      <c r="BS206" s="525">
        <v>0</v>
      </c>
      <c r="BT206" s="492">
        <v>1</v>
      </c>
      <c r="BU206" s="493" t="s">
        <v>2000</v>
      </c>
      <c r="BV206" s="493">
        <v>0</v>
      </c>
      <c r="BW206" s="493">
        <v>0</v>
      </c>
      <c r="BX206" s="70">
        <v>0</v>
      </c>
      <c r="BY206" s="70"/>
      <c r="BZ206" s="70"/>
      <c r="CA206" s="70"/>
      <c r="CB206" s="70">
        <v>0</v>
      </c>
      <c r="CC206" s="70">
        <v>0</v>
      </c>
      <c r="CD206" s="70">
        <v>0</v>
      </c>
      <c r="CE206" s="70"/>
      <c r="CF206" s="70"/>
      <c r="CG206" s="493"/>
      <c r="CH206" s="70">
        <v>0</v>
      </c>
      <c r="CI206" s="70"/>
      <c r="CJ206" s="69">
        <v>0</v>
      </c>
      <c r="CK206" s="69">
        <v>0</v>
      </c>
      <c r="CL206" s="70">
        <v>0</v>
      </c>
      <c r="CM206" s="47">
        <v>85</v>
      </c>
      <c r="CN206" s="47">
        <v>73</v>
      </c>
      <c r="CP206" s="504">
        <v>30.5</v>
      </c>
      <c r="CQ206" s="504">
        <v>32.1</v>
      </c>
      <c r="CR206" s="258">
        <v>40644</v>
      </c>
      <c r="CS206" s="258">
        <v>40670</v>
      </c>
      <c r="CT206" s="78">
        <v>19</v>
      </c>
      <c r="CU206" s="79">
        <v>41089</v>
      </c>
      <c r="CV206" s="307">
        <v>0</v>
      </c>
      <c r="CW206" s="258"/>
      <c r="CX206" s="307">
        <v>0</v>
      </c>
      <c r="CY206" s="307">
        <v>0</v>
      </c>
      <c r="CZ206" s="307">
        <v>0</v>
      </c>
      <c r="DA206" s="258"/>
      <c r="DB206" s="307">
        <v>0</v>
      </c>
      <c r="DC206" s="258"/>
      <c r="DD206" s="307">
        <v>0</v>
      </c>
      <c r="DE206" s="258"/>
      <c r="DF206" s="307">
        <v>0</v>
      </c>
      <c r="DG206" s="258"/>
      <c r="DH206" s="258"/>
      <c r="DI206" s="70"/>
      <c r="DJ206" s="70">
        <v>1</v>
      </c>
      <c r="DK206" s="430">
        <v>15.285996055226823</v>
      </c>
      <c r="DL206" s="487"/>
      <c r="DM206" s="527" t="s">
        <v>951</v>
      </c>
      <c r="DN206" s="488">
        <v>41116</v>
      </c>
      <c r="DO206" s="70" t="s">
        <v>952</v>
      </c>
      <c r="DP206" s="70"/>
      <c r="DQ206" s="70"/>
      <c r="DR206" s="70"/>
      <c r="DS206" s="70"/>
      <c r="DT206" s="70"/>
      <c r="DU206" s="70"/>
      <c r="DV206" s="70"/>
      <c r="DW206" s="70"/>
      <c r="DX206" s="70"/>
      <c r="DY206" s="70"/>
      <c r="DZ206" s="70"/>
      <c r="EA206" s="70"/>
      <c r="EB206" s="70"/>
      <c r="EC206" s="70"/>
      <c r="ED206" s="70"/>
      <c r="EE206" s="70"/>
      <c r="EF206" s="70"/>
      <c r="EG206" s="70"/>
      <c r="EH206" s="70"/>
      <c r="EI206" s="70"/>
    </row>
    <row r="207" spans="1:139" s="47" customFormat="1" ht="39.75" customHeight="1">
      <c r="A207" s="50">
        <v>402</v>
      </c>
      <c r="B207" s="258">
        <v>40651</v>
      </c>
      <c r="C207" s="55">
        <v>40651.569444444445</v>
      </c>
      <c r="D207" s="501">
        <v>26660878</v>
      </c>
      <c r="E207" s="487" t="s">
        <v>953</v>
      </c>
      <c r="F207" s="47" t="b">
        <v>1</v>
      </c>
      <c r="H207" s="487" t="s">
        <v>919</v>
      </c>
      <c r="I207" s="488" t="s">
        <v>954</v>
      </c>
      <c r="J207" s="255">
        <v>53.802739726027397</v>
      </c>
      <c r="K207" s="181">
        <v>645.56213017751475</v>
      </c>
      <c r="L207" s="487" t="s">
        <v>493</v>
      </c>
      <c r="M207" s="502" t="s">
        <v>955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v>0</v>
      </c>
      <c r="AK207" s="323">
        <f t="shared" si="6"/>
        <v>1</v>
      </c>
      <c r="AL207" s="186"/>
      <c r="AM207" s="58">
        <v>40638</v>
      </c>
      <c r="AN207" s="52" t="s">
        <v>1890</v>
      </c>
      <c r="AO207" s="54">
        <v>40679</v>
      </c>
      <c r="AP207" s="50" t="s">
        <v>152</v>
      </c>
      <c r="AQ207" s="58">
        <v>40638</v>
      </c>
      <c r="AR207" s="52">
        <v>0</v>
      </c>
      <c r="AS207" s="52"/>
      <c r="AT207" s="323">
        <v>0</v>
      </c>
      <c r="AU207" s="52">
        <v>1</v>
      </c>
      <c r="AV207" s="52">
        <v>0</v>
      </c>
      <c r="AW207" s="52">
        <v>0</v>
      </c>
      <c r="AX207" s="487" t="s">
        <v>956</v>
      </c>
      <c r="AY207" s="70"/>
      <c r="AZ207" s="70" t="s">
        <v>1503</v>
      </c>
      <c r="BA207" s="47">
        <v>0</v>
      </c>
      <c r="BB207" s="69">
        <v>1</v>
      </c>
      <c r="BC207" s="69"/>
      <c r="BD207" s="69">
        <v>0</v>
      </c>
      <c r="BE207" s="69">
        <v>0</v>
      </c>
      <c r="BF207" s="234">
        <v>0</v>
      </c>
      <c r="BG207" s="766">
        <v>0</v>
      </c>
      <c r="BH207" s="766"/>
      <c r="BI207" s="492">
        <v>1</v>
      </c>
      <c r="BJ207" s="493"/>
      <c r="BK207" s="493">
        <v>1</v>
      </c>
      <c r="BL207" s="493" t="s">
        <v>2004</v>
      </c>
      <c r="BM207" s="493">
        <v>1</v>
      </c>
      <c r="BN207" s="493" t="s">
        <v>1497</v>
      </c>
      <c r="BO207" s="493">
        <v>1</v>
      </c>
      <c r="BP207" s="493">
        <v>0</v>
      </c>
      <c r="BQ207" s="493">
        <v>0</v>
      </c>
      <c r="BR207" s="493">
        <v>0</v>
      </c>
      <c r="BS207" s="467">
        <v>0</v>
      </c>
      <c r="BT207" s="492">
        <v>0</v>
      </c>
      <c r="BU207" s="493"/>
      <c r="BV207" s="493">
        <v>0</v>
      </c>
      <c r="BW207" s="493">
        <v>1</v>
      </c>
      <c r="BX207" s="70">
        <v>0</v>
      </c>
      <c r="BY207" s="70"/>
      <c r="BZ207" s="70"/>
      <c r="CA207" s="70" t="s">
        <v>2005</v>
      </c>
      <c r="CB207" s="77">
        <v>0</v>
      </c>
      <c r="CC207" s="77">
        <v>0</v>
      </c>
      <c r="CD207" s="77">
        <v>0</v>
      </c>
      <c r="CE207" s="77"/>
      <c r="CF207" s="77"/>
      <c r="CG207" s="493"/>
      <c r="CH207" s="70">
        <v>1</v>
      </c>
      <c r="CI207" s="70" t="s">
        <v>1626</v>
      </c>
      <c r="CJ207" s="69">
        <v>0</v>
      </c>
      <c r="CK207" s="69">
        <v>0</v>
      </c>
      <c r="CL207" s="70">
        <v>0</v>
      </c>
      <c r="CM207" s="47">
        <v>86</v>
      </c>
      <c r="CN207" s="47">
        <v>69</v>
      </c>
      <c r="CP207" s="504">
        <v>31.4</v>
      </c>
      <c r="CQ207" s="504">
        <v>32.799999999999997</v>
      </c>
      <c r="CR207" s="258">
        <v>40637</v>
      </c>
      <c r="CS207" s="258">
        <v>40666</v>
      </c>
      <c r="CT207" s="78">
        <v>15</v>
      </c>
      <c r="CU207" s="79">
        <v>43697</v>
      </c>
      <c r="CV207" s="307">
        <v>0</v>
      </c>
      <c r="CW207" s="258"/>
      <c r="CX207" s="307">
        <v>0</v>
      </c>
      <c r="CY207" s="307">
        <v>0</v>
      </c>
      <c r="CZ207" s="307">
        <v>0</v>
      </c>
      <c r="DA207" s="258"/>
      <c r="DB207" s="307">
        <v>0</v>
      </c>
      <c r="DC207" s="258"/>
      <c r="DD207" s="307">
        <v>0</v>
      </c>
      <c r="DE207" s="258"/>
      <c r="DF207" s="307">
        <v>0</v>
      </c>
      <c r="DG207" s="258"/>
      <c r="DH207" s="258"/>
      <c r="DI207" s="70"/>
      <c r="DJ207" s="70">
        <v>0</v>
      </c>
      <c r="DK207" s="255"/>
      <c r="DL207" s="487"/>
      <c r="DM207" s="70"/>
      <c r="DN207" s="488" t="s">
        <v>821</v>
      </c>
      <c r="DO207" s="70"/>
      <c r="DP207" s="70"/>
      <c r="DQ207" s="70"/>
      <c r="DR207" s="70"/>
      <c r="DS207" s="70"/>
      <c r="DT207" s="70"/>
      <c r="DU207" s="70"/>
      <c r="DV207" s="70"/>
      <c r="DW207" s="70"/>
      <c r="DX207" s="70"/>
      <c r="DY207" s="70"/>
      <c r="DZ207" s="70"/>
      <c r="EA207" s="70"/>
      <c r="EB207" s="70"/>
      <c r="EC207" s="70"/>
      <c r="ED207" s="70"/>
      <c r="EE207" s="70"/>
      <c r="EF207" s="70"/>
      <c r="EG207" s="70"/>
      <c r="EH207" s="70"/>
      <c r="EI207" s="70"/>
    </row>
    <row r="208" spans="1:139" s="47" customFormat="1" ht="39.75" customHeight="1">
      <c r="A208" s="50">
        <v>405</v>
      </c>
      <c r="B208" s="258">
        <v>40595</v>
      </c>
      <c r="C208" s="55">
        <v>40595.531944444447</v>
      </c>
      <c r="D208" s="501">
        <v>26346257</v>
      </c>
      <c r="E208" s="487" t="s">
        <v>957</v>
      </c>
      <c r="F208" s="47" t="b">
        <v>1</v>
      </c>
      <c r="H208" s="487" t="s">
        <v>902</v>
      </c>
      <c r="I208" s="488" t="s">
        <v>958</v>
      </c>
      <c r="J208" s="255">
        <v>56.717808219178082</v>
      </c>
      <c r="K208" s="181">
        <v>680.53911900065748</v>
      </c>
      <c r="L208" s="487" t="s">
        <v>493</v>
      </c>
      <c r="M208" s="502" t="s">
        <v>959</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523">
        <v>0</v>
      </c>
      <c r="AK208" s="323">
        <f t="shared" si="6"/>
        <v>1</v>
      </c>
      <c r="AL208" s="502"/>
      <c r="AM208" s="521">
        <v>40561</v>
      </c>
      <c r="AN208" s="487" t="s">
        <v>2006</v>
      </c>
      <c r="AO208" s="54">
        <v>40604</v>
      </c>
      <c r="AP208" s="79">
        <v>40549</v>
      </c>
      <c r="AQ208" s="521" t="s">
        <v>2007</v>
      </c>
      <c r="AR208" s="487">
        <v>1</v>
      </c>
      <c r="AS208" s="487" t="s">
        <v>2008</v>
      </c>
      <c r="AT208" s="523">
        <v>0</v>
      </c>
      <c r="AU208" s="487">
        <v>1</v>
      </c>
      <c r="AV208" s="487">
        <v>0</v>
      </c>
      <c r="AW208" s="487">
        <v>0</v>
      </c>
      <c r="AX208" s="487" t="s">
        <v>960</v>
      </c>
      <c r="AY208" s="70"/>
      <c r="AZ208" s="70" t="s">
        <v>1503</v>
      </c>
      <c r="BA208" s="47">
        <v>0</v>
      </c>
      <c r="BB208" s="69">
        <v>1</v>
      </c>
      <c r="BC208" s="69"/>
      <c r="BD208" s="69">
        <v>1</v>
      </c>
      <c r="BE208" s="69">
        <v>0</v>
      </c>
      <c r="BF208" s="234">
        <v>0</v>
      </c>
      <c r="BG208" s="766">
        <v>0</v>
      </c>
      <c r="BH208" s="766"/>
      <c r="BI208" s="492">
        <v>0</v>
      </c>
      <c r="BJ208" s="493"/>
      <c r="BK208" s="493">
        <v>0</v>
      </c>
      <c r="BL208" s="493"/>
      <c r="BM208" s="493">
        <v>0</v>
      </c>
      <c r="BN208" s="493"/>
      <c r="BO208" s="493">
        <v>0</v>
      </c>
      <c r="BP208" s="493">
        <v>0</v>
      </c>
      <c r="BQ208" s="493">
        <v>0</v>
      </c>
      <c r="BR208" s="493">
        <v>0</v>
      </c>
      <c r="BS208" s="525">
        <v>0</v>
      </c>
      <c r="BT208" s="492">
        <v>1</v>
      </c>
      <c r="BU208" s="493" t="s">
        <v>2009</v>
      </c>
      <c r="BV208" s="493">
        <v>0</v>
      </c>
      <c r="BW208" s="493">
        <v>0</v>
      </c>
      <c r="BX208" s="70">
        <v>0</v>
      </c>
      <c r="BY208" s="70"/>
      <c r="BZ208" s="70"/>
      <c r="CA208" s="70"/>
      <c r="CB208" s="70">
        <v>0</v>
      </c>
      <c r="CC208" s="70">
        <v>0</v>
      </c>
      <c r="CD208" s="70">
        <v>0</v>
      </c>
      <c r="CE208" s="70"/>
      <c r="CF208" s="70"/>
      <c r="CG208" s="493"/>
      <c r="CH208" s="70">
        <v>0</v>
      </c>
      <c r="CI208" s="70"/>
      <c r="CJ208" s="69">
        <v>0</v>
      </c>
      <c r="CK208" s="69">
        <v>0</v>
      </c>
      <c r="CL208" s="70">
        <v>0</v>
      </c>
      <c r="CM208" s="47">
        <v>102</v>
      </c>
      <c r="CN208" s="47">
        <v>80</v>
      </c>
      <c r="CP208" s="504">
        <v>29.6</v>
      </c>
      <c r="CQ208" s="504">
        <v>31.3</v>
      </c>
      <c r="CR208" s="258">
        <v>40562</v>
      </c>
      <c r="CS208" s="258">
        <v>40605</v>
      </c>
      <c r="CT208" s="78">
        <v>10</v>
      </c>
      <c r="CU208" s="79">
        <v>43578</v>
      </c>
      <c r="CV208" s="307">
        <v>0</v>
      </c>
      <c r="CW208" s="258"/>
      <c r="CX208" s="307">
        <v>0</v>
      </c>
      <c r="CY208" s="307">
        <v>0</v>
      </c>
      <c r="CZ208" s="307">
        <v>0</v>
      </c>
      <c r="DA208" s="258"/>
      <c r="DB208" s="307">
        <v>0</v>
      </c>
      <c r="DC208" s="258"/>
      <c r="DD208" s="307">
        <v>0</v>
      </c>
      <c r="DE208" s="258"/>
      <c r="DF208" s="307">
        <v>0</v>
      </c>
      <c r="DG208" s="258"/>
      <c r="DH208" s="258"/>
      <c r="DI208" s="70"/>
      <c r="DJ208" s="70">
        <v>0</v>
      </c>
      <c r="DK208" s="255"/>
      <c r="DL208" s="487"/>
      <c r="DM208" s="70"/>
      <c r="DN208" s="488" t="s">
        <v>821</v>
      </c>
      <c r="DO208" s="70"/>
      <c r="DP208" s="70"/>
      <c r="DQ208" s="70"/>
      <c r="DR208" s="70"/>
      <c r="DS208" s="70"/>
      <c r="DT208" s="70"/>
      <c r="DU208" s="70"/>
      <c r="DV208" s="70"/>
      <c r="DW208" s="70"/>
      <c r="DX208" s="70"/>
      <c r="DY208" s="70"/>
      <c r="DZ208" s="70"/>
      <c r="EA208" s="70"/>
      <c r="EB208" s="70"/>
      <c r="EC208" s="70"/>
      <c r="ED208" s="70"/>
      <c r="EE208" s="70"/>
      <c r="EF208" s="70"/>
      <c r="EG208" s="70"/>
      <c r="EH208" s="70"/>
      <c r="EI208" s="70"/>
    </row>
    <row r="209" spans="1:139" s="47" customFormat="1" ht="39.75" customHeight="1">
      <c r="A209" s="50">
        <v>406</v>
      </c>
      <c r="B209" s="258">
        <v>40569</v>
      </c>
      <c r="C209" s="55">
        <v>40569.763888888891</v>
      </c>
      <c r="D209" s="501">
        <v>26390791</v>
      </c>
      <c r="E209" s="487" t="s">
        <v>961</v>
      </c>
      <c r="F209" s="47" t="b">
        <v>1</v>
      </c>
      <c r="H209" s="487" t="s">
        <v>919</v>
      </c>
      <c r="I209" s="488" t="s">
        <v>962</v>
      </c>
      <c r="J209" s="255">
        <v>72.895890410958899</v>
      </c>
      <c r="K209" s="181">
        <v>874.65483234713997</v>
      </c>
      <c r="L209" s="487" t="s">
        <v>493</v>
      </c>
      <c r="M209" s="502" t="s">
        <v>963</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523">
        <v>0</v>
      </c>
      <c r="AK209" s="323">
        <f t="shared" si="6"/>
        <v>0</v>
      </c>
      <c r="AL209" s="502"/>
      <c r="AM209" s="521">
        <v>40569</v>
      </c>
      <c r="AN209" s="487" t="s">
        <v>1803</v>
      </c>
      <c r="AO209" s="54">
        <v>40611</v>
      </c>
      <c r="AP209" s="524" t="s">
        <v>2010</v>
      </c>
      <c r="AQ209" s="521">
        <v>40561</v>
      </c>
      <c r="AR209" s="487">
        <v>0</v>
      </c>
      <c r="AS209" s="487"/>
      <c r="AT209" s="523">
        <v>0</v>
      </c>
      <c r="AU209" s="487">
        <v>1</v>
      </c>
      <c r="AV209" s="487">
        <v>0</v>
      </c>
      <c r="AW209" s="487">
        <v>1</v>
      </c>
      <c r="AX209" s="487" t="s">
        <v>964</v>
      </c>
      <c r="AY209" s="70"/>
      <c r="AZ209" s="70" t="s">
        <v>1503</v>
      </c>
      <c r="BA209" s="47">
        <v>0</v>
      </c>
      <c r="BB209" s="69">
        <v>1</v>
      </c>
      <c r="BC209" s="69"/>
      <c r="BD209" s="69">
        <v>1</v>
      </c>
      <c r="BE209" s="69">
        <v>1</v>
      </c>
      <c r="BF209" s="234">
        <v>1</v>
      </c>
      <c r="BG209" s="766">
        <v>0</v>
      </c>
      <c r="BH209" s="766"/>
      <c r="BI209" s="492">
        <v>0</v>
      </c>
      <c r="BJ209" s="493"/>
      <c r="BK209" s="493">
        <v>0</v>
      </c>
      <c r="BL209" s="493"/>
      <c r="BM209" s="493">
        <v>0</v>
      </c>
      <c r="BN209" s="493"/>
      <c r="BO209" s="493">
        <v>0</v>
      </c>
      <c r="BP209" s="493">
        <v>0</v>
      </c>
      <c r="BQ209" s="493">
        <v>0</v>
      </c>
      <c r="BR209" s="493">
        <v>0</v>
      </c>
      <c r="BS209" s="525">
        <v>0</v>
      </c>
      <c r="BT209" s="463">
        <v>1</v>
      </c>
      <c r="BU209" s="464" t="s">
        <v>2011</v>
      </c>
      <c r="BV209" s="464">
        <v>0</v>
      </c>
      <c r="BW209" s="464">
        <v>0</v>
      </c>
      <c r="BX209" s="70">
        <v>0</v>
      </c>
      <c r="BY209" s="70"/>
      <c r="BZ209" s="70"/>
      <c r="CA209" s="70"/>
      <c r="CB209" s="70">
        <v>0</v>
      </c>
      <c r="CC209" s="70">
        <v>0</v>
      </c>
      <c r="CD209" s="70">
        <v>0</v>
      </c>
      <c r="CE209" s="70"/>
      <c r="CF209" s="70"/>
      <c r="CG209" s="493"/>
      <c r="CH209" s="70">
        <v>0</v>
      </c>
      <c r="CI209" s="70"/>
      <c r="CJ209" s="69">
        <v>0</v>
      </c>
      <c r="CK209" s="69">
        <v>0</v>
      </c>
      <c r="CL209" s="70">
        <v>0</v>
      </c>
      <c r="CM209" s="47">
        <v>85</v>
      </c>
      <c r="CN209" s="47">
        <v>69</v>
      </c>
      <c r="CP209" s="504">
        <v>27.8</v>
      </c>
      <c r="CQ209" s="504">
        <v>31.5</v>
      </c>
      <c r="CR209" s="258">
        <v>40569</v>
      </c>
      <c r="CS209" s="258">
        <v>40612</v>
      </c>
      <c r="CT209" s="78">
        <v>43</v>
      </c>
      <c r="CU209" s="79">
        <v>43438</v>
      </c>
      <c r="CV209" s="307">
        <v>0</v>
      </c>
      <c r="CW209" s="258"/>
      <c r="CX209" s="307">
        <v>0</v>
      </c>
      <c r="CY209" s="307">
        <v>0</v>
      </c>
      <c r="CZ209" s="307">
        <v>0</v>
      </c>
      <c r="DA209" s="258"/>
      <c r="DB209" s="307">
        <v>0</v>
      </c>
      <c r="DC209" s="258"/>
      <c r="DD209" s="307">
        <v>0</v>
      </c>
      <c r="DE209" s="258"/>
      <c r="DF209" s="307">
        <v>0</v>
      </c>
      <c r="DG209" s="258"/>
      <c r="DH209" s="258"/>
      <c r="DI209" s="70"/>
      <c r="DJ209" s="70">
        <v>0</v>
      </c>
      <c r="DK209" s="528">
        <v>79.45430637738329</v>
      </c>
      <c r="DL209" s="487"/>
      <c r="DM209" s="70"/>
      <c r="DN209" s="79">
        <v>42986</v>
      </c>
      <c r="DO209" s="70"/>
      <c r="DP209" s="70"/>
      <c r="DQ209" s="70"/>
      <c r="DR209" s="70"/>
      <c r="DS209" s="70"/>
      <c r="DT209" s="70"/>
      <c r="DU209" s="70"/>
      <c r="DV209" s="70"/>
      <c r="DW209" s="70"/>
      <c r="DX209" s="70"/>
      <c r="DY209" s="70"/>
      <c r="DZ209" s="70"/>
      <c r="EA209" s="70"/>
      <c r="EB209" s="70"/>
      <c r="EC209" s="70"/>
      <c r="ED209" s="70"/>
      <c r="EE209" s="70"/>
      <c r="EF209" s="70"/>
      <c r="EG209" s="70"/>
      <c r="EH209" s="70"/>
      <c r="EI209" s="70"/>
    </row>
    <row r="210" spans="1:139" s="48" customFormat="1" ht="39.75" customHeight="1">
      <c r="A210" s="60">
        <v>410</v>
      </c>
      <c r="B210" s="108">
        <v>40526</v>
      </c>
      <c r="C210" s="62">
        <v>40526.59097222222</v>
      </c>
      <c r="D210" s="137">
        <v>22578890</v>
      </c>
      <c r="E210" s="529" t="s">
        <v>965</v>
      </c>
      <c r="F210" s="48" t="b">
        <v>0</v>
      </c>
      <c r="G210" s="48" t="s">
        <v>1487</v>
      </c>
      <c r="H210" s="529" t="s">
        <v>418</v>
      </c>
      <c r="I210" s="529" t="s">
        <v>966</v>
      </c>
      <c r="J210" s="110">
        <v>40.504109589041093</v>
      </c>
      <c r="K210" s="85">
        <v>485.99605522682441</v>
      </c>
      <c r="L210" s="529" t="s">
        <v>967</v>
      </c>
      <c r="M210" s="495" t="s">
        <v>968</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497"/>
      <c r="AK210" s="324">
        <f t="shared" si="6"/>
        <v>1</v>
      </c>
      <c r="AL210" s="495"/>
      <c r="AM210" s="498"/>
      <c r="AN210" s="138"/>
      <c r="AO210" s="61"/>
      <c r="AP210" s="143"/>
      <c r="AQ210" s="498"/>
      <c r="AR210" s="138"/>
      <c r="AS210" s="138"/>
      <c r="AT210" s="497"/>
      <c r="AU210" s="138"/>
      <c r="AV210" s="138"/>
      <c r="AW210" s="138"/>
      <c r="AX210" s="530" t="s">
        <v>969</v>
      </c>
      <c r="AY210" s="71"/>
      <c r="AZ210" s="71">
        <v>1</v>
      </c>
      <c r="BB210" s="82"/>
      <c r="BC210" s="82"/>
      <c r="BD210" s="82"/>
      <c r="BE210" s="82"/>
      <c r="BF210" s="235"/>
      <c r="BG210" s="767"/>
      <c r="BH210" s="767"/>
      <c r="BI210" s="227"/>
      <c r="BJ210" s="140"/>
      <c r="BK210" s="140"/>
      <c r="BL210" s="140"/>
      <c r="BM210" s="140"/>
      <c r="BN210" s="140"/>
      <c r="BO210" s="140"/>
      <c r="BP210" s="140"/>
      <c r="BQ210" s="140"/>
      <c r="BR210" s="140"/>
      <c r="BS210" s="248"/>
      <c r="BT210" s="227" t="s">
        <v>213</v>
      </c>
      <c r="BU210" s="140"/>
      <c r="BV210" s="140"/>
      <c r="BW210" s="140"/>
      <c r="BX210" s="71"/>
      <c r="BY210" s="71"/>
      <c r="BZ210" s="71"/>
      <c r="CA210" s="71"/>
      <c r="CB210" s="71"/>
      <c r="CC210" s="71"/>
      <c r="CD210" s="71"/>
      <c r="CE210" s="71"/>
      <c r="CF210" s="71"/>
      <c r="CG210" s="140"/>
      <c r="CH210" s="71"/>
      <c r="CI210" s="71"/>
      <c r="CJ210" s="82">
        <v>0</v>
      </c>
      <c r="CK210" s="82">
        <v>0</v>
      </c>
      <c r="CL210" s="71"/>
      <c r="CP210" s="505"/>
      <c r="CQ210" s="505"/>
      <c r="CR210" s="108">
        <v>40522</v>
      </c>
      <c r="CS210" s="108">
        <v>40593</v>
      </c>
      <c r="CT210" s="83">
        <v>67</v>
      </c>
      <c r="CU210" s="84"/>
      <c r="CV210" s="109"/>
      <c r="CW210" s="108"/>
      <c r="CX210" s="109"/>
      <c r="CY210" s="109"/>
      <c r="CZ210" s="109"/>
      <c r="DA210" s="108"/>
      <c r="DB210" s="109"/>
      <c r="DC210" s="108"/>
      <c r="DD210" s="109"/>
      <c r="DE210" s="108"/>
      <c r="DF210" s="109"/>
      <c r="DG210" s="108"/>
      <c r="DH210" s="108"/>
      <c r="DI210" s="71"/>
      <c r="DJ210" s="71">
        <v>0</v>
      </c>
      <c r="DK210" s="110"/>
      <c r="DL210" s="71"/>
      <c r="DM210" s="71"/>
      <c r="DN210" s="71"/>
      <c r="DO210" s="529"/>
      <c r="DP210" s="71"/>
      <c r="DQ210" s="71"/>
      <c r="DR210" s="71"/>
      <c r="DS210" s="71"/>
      <c r="DT210" s="71"/>
      <c r="DU210" s="71"/>
      <c r="DV210" s="71"/>
      <c r="DW210" s="71"/>
      <c r="DX210" s="71"/>
      <c r="DY210" s="71"/>
      <c r="DZ210" s="71"/>
      <c r="EA210" s="71"/>
      <c r="EB210" s="71"/>
      <c r="EC210" s="71"/>
      <c r="ED210" s="71"/>
      <c r="EE210" s="71"/>
      <c r="EF210" s="71"/>
      <c r="EG210" s="71"/>
      <c r="EH210" s="71"/>
      <c r="EI210" s="71"/>
    </row>
    <row r="211" spans="1:139" s="48" customFormat="1" ht="39.75" customHeight="1">
      <c r="A211" s="60">
        <v>412</v>
      </c>
      <c r="B211" s="108">
        <v>40514</v>
      </c>
      <c r="C211" s="62">
        <v>40514.902777777781</v>
      </c>
      <c r="D211" s="137">
        <v>25997148</v>
      </c>
      <c r="E211" s="138" t="s">
        <v>970</v>
      </c>
      <c r="F211" s="48" t="b">
        <v>0</v>
      </c>
      <c r="G211" s="48" t="s">
        <v>1487</v>
      </c>
      <c r="H211" s="529" t="s">
        <v>919</v>
      </c>
      <c r="I211" s="108">
        <v>16214</v>
      </c>
      <c r="J211" s="110">
        <v>66.575342465753423</v>
      </c>
      <c r="K211" s="85">
        <v>798.81656804733723</v>
      </c>
      <c r="L211" s="529" t="s">
        <v>967</v>
      </c>
      <c r="M211" s="495" t="s">
        <v>971</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497"/>
      <c r="AK211" s="324">
        <f t="shared" si="6"/>
        <v>0</v>
      </c>
      <c r="AL211" s="495"/>
      <c r="AM211" s="498"/>
      <c r="AN211" s="138"/>
      <c r="AO211" s="61"/>
      <c r="AP211" s="143"/>
      <c r="AQ211" s="498"/>
      <c r="AR211" s="138"/>
      <c r="AS211" s="138"/>
      <c r="AT211" s="497"/>
      <c r="AU211" s="138"/>
      <c r="AV211" s="138"/>
      <c r="AW211" s="138"/>
      <c r="AX211" s="530" t="s">
        <v>973</v>
      </c>
      <c r="AY211" s="71"/>
      <c r="AZ211" s="71"/>
      <c r="BB211" s="82"/>
      <c r="BC211" s="82"/>
      <c r="BD211" s="82"/>
      <c r="BE211" s="82"/>
      <c r="BF211" s="235"/>
      <c r="BG211" s="767"/>
      <c r="BH211" s="767"/>
      <c r="BI211" s="227"/>
      <c r="BJ211" s="140"/>
      <c r="BK211" s="140"/>
      <c r="BL211" s="140"/>
      <c r="BM211" s="140"/>
      <c r="BN211" s="140"/>
      <c r="BO211" s="140"/>
      <c r="BP211" s="140"/>
      <c r="BQ211" s="140"/>
      <c r="BR211" s="140"/>
      <c r="BS211" s="248"/>
      <c r="BT211" s="227" t="s">
        <v>736</v>
      </c>
      <c r="BU211" s="140"/>
      <c r="BV211" s="140"/>
      <c r="BW211" s="140"/>
      <c r="BX211" s="71"/>
      <c r="BY211" s="71"/>
      <c r="BZ211" s="71"/>
      <c r="CA211" s="71"/>
      <c r="CB211" s="71"/>
      <c r="CC211" s="71"/>
      <c r="CD211" s="71"/>
      <c r="CE211" s="71"/>
      <c r="CF211" s="71"/>
      <c r="CG211" s="140"/>
      <c r="CH211" s="82" t="s">
        <v>972</v>
      </c>
      <c r="CI211" s="82"/>
      <c r="CJ211" s="82">
        <v>0</v>
      </c>
      <c r="CK211" s="82">
        <v>0</v>
      </c>
      <c r="CL211" s="71"/>
      <c r="CP211" s="505"/>
      <c r="CQ211" s="505"/>
      <c r="CR211" s="108">
        <v>40494</v>
      </c>
      <c r="CS211" s="108">
        <v>40562</v>
      </c>
      <c r="CT211" s="83">
        <v>48</v>
      </c>
      <c r="CU211" s="84"/>
      <c r="CV211" s="109"/>
      <c r="CW211" s="108"/>
      <c r="CX211" s="109"/>
      <c r="CY211" s="109"/>
      <c r="CZ211" s="109"/>
      <c r="DA211" s="108"/>
      <c r="DB211" s="109"/>
      <c r="DC211" s="108"/>
      <c r="DD211" s="109"/>
      <c r="DE211" s="108"/>
      <c r="DF211" s="109"/>
      <c r="DG211" s="108"/>
      <c r="DH211" s="108"/>
      <c r="DI211" s="71"/>
      <c r="DJ211" s="71">
        <v>0</v>
      </c>
      <c r="DK211" s="110"/>
      <c r="DL211" s="71"/>
      <c r="DM211" s="71"/>
      <c r="DN211" s="71"/>
      <c r="DO211" s="529"/>
      <c r="DP211" s="71"/>
      <c r="DQ211" s="71"/>
      <c r="DR211" s="71"/>
      <c r="DS211" s="71"/>
      <c r="DT211" s="71"/>
      <c r="DU211" s="71"/>
      <c r="DV211" s="71"/>
      <c r="DW211" s="71"/>
      <c r="DX211" s="71"/>
      <c r="DY211" s="71"/>
      <c r="DZ211" s="71"/>
      <c r="EA211" s="71"/>
      <c r="EB211" s="71"/>
      <c r="EC211" s="71"/>
      <c r="ED211" s="71"/>
      <c r="EE211" s="71"/>
      <c r="EF211" s="71"/>
      <c r="EG211" s="71"/>
      <c r="EH211" s="71"/>
      <c r="EI211" s="71"/>
    </row>
    <row r="212" spans="1:139" s="196" customFormat="1" ht="39.75" customHeight="1">
      <c r="A212" s="90">
        <v>413</v>
      </c>
      <c r="B212" s="320">
        <v>40513</v>
      </c>
      <c r="C212" s="194">
        <v>40513.826388888891</v>
      </c>
      <c r="D212" s="509">
        <v>4894149</v>
      </c>
      <c r="E212" s="510" t="s">
        <v>974</v>
      </c>
      <c r="F212" s="196" t="s">
        <v>1590</v>
      </c>
      <c r="G212" s="196" t="s">
        <v>1730</v>
      </c>
      <c r="H212" s="531" t="s">
        <v>919</v>
      </c>
      <c r="I212" s="320">
        <v>24630</v>
      </c>
      <c r="J212" s="259">
        <v>43.515068493150686</v>
      </c>
      <c r="K212" s="197">
        <v>522.12360289283367</v>
      </c>
      <c r="L212" s="531" t="s">
        <v>493</v>
      </c>
      <c r="M212" s="512" t="s">
        <v>975</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514"/>
      <c r="AK212" s="326">
        <f t="shared" si="6"/>
        <v>0</v>
      </c>
      <c r="AL212" s="512"/>
      <c r="AM212" s="515"/>
      <c r="AN212" s="510"/>
      <c r="AO212" s="88"/>
      <c r="AP212" s="516"/>
      <c r="AQ212" s="515"/>
      <c r="AR212" s="510"/>
      <c r="AS212" s="510"/>
      <c r="AT212" s="514"/>
      <c r="AU212" s="510"/>
      <c r="AV212" s="510"/>
      <c r="AW212" s="510"/>
      <c r="AX212" s="532" t="s">
        <v>976</v>
      </c>
      <c r="AY212" s="201"/>
      <c r="AZ212" s="201">
        <v>1</v>
      </c>
      <c r="BB212" s="203"/>
      <c r="BC212" s="203"/>
      <c r="BD212" s="203"/>
      <c r="BE212" s="203"/>
      <c r="BF212" s="236"/>
      <c r="BG212" s="768"/>
      <c r="BH212" s="768"/>
      <c r="BI212" s="517"/>
      <c r="BJ212" s="518"/>
      <c r="BK212" s="518"/>
      <c r="BL212" s="518"/>
      <c r="BM212" s="518"/>
      <c r="BN212" s="518"/>
      <c r="BO212" s="518"/>
      <c r="BP212" s="518"/>
      <c r="BQ212" s="518"/>
      <c r="BR212" s="518"/>
      <c r="BS212" s="519"/>
      <c r="BT212" s="517" t="s">
        <v>174</v>
      </c>
      <c r="BU212" s="518"/>
      <c r="BV212" s="518"/>
      <c r="BW212" s="518"/>
      <c r="BX212" s="201"/>
      <c r="BY212" s="201"/>
      <c r="BZ212" s="201"/>
      <c r="CA212" s="201"/>
      <c r="CB212" s="201"/>
      <c r="CC212" s="201"/>
      <c r="CD212" s="201"/>
      <c r="CE212" s="201"/>
      <c r="CF212" s="201"/>
      <c r="CG212" s="518"/>
      <c r="CH212" s="201"/>
      <c r="CI212" s="201"/>
      <c r="CJ212" s="203">
        <v>0</v>
      </c>
      <c r="CK212" s="203">
        <v>0</v>
      </c>
      <c r="CL212" s="201"/>
      <c r="CP212" s="506"/>
      <c r="CQ212" s="506"/>
      <c r="CR212" s="320">
        <v>40511</v>
      </c>
      <c r="CS212" s="320">
        <v>40575</v>
      </c>
      <c r="CT212" s="205">
        <v>62</v>
      </c>
      <c r="CU212" s="206"/>
      <c r="CV212" s="520"/>
      <c r="CW212" s="320"/>
      <c r="CX212" s="520"/>
      <c r="CY212" s="520"/>
      <c r="CZ212" s="520"/>
      <c r="DA212" s="320"/>
      <c r="DB212" s="520"/>
      <c r="DC212" s="320"/>
      <c r="DD212" s="520"/>
      <c r="DE212" s="320"/>
      <c r="DF212" s="520"/>
      <c r="DG212" s="320"/>
      <c r="DH212" s="320"/>
      <c r="DI212" s="201"/>
      <c r="DJ212" s="201">
        <v>0</v>
      </c>
      <c r="DK212" s="259"/>
      <c r="DL212" s="201"/>
      <c r="DM212" s="201"/>
      <c r="DN212" s="201"/>
      <c r="DO212" s="531"/>
      <c r="DP212" s="201"/>
      <c r="DQ212" s="201"/>
      <c r="DR212" s="201"/>
      <c r="DS212" s="201"/>
      <c r="DT212" s="201"/>
      <c r="DU212" s="201"/>
      <c r="DV212" s="516" t="b">
        <v>0</v>
      </c>
      <c r="DW212" s="201"/>
      <c r="DX212" s="201"/>
      <c r="DY212" s="201"/>
      <c r="DZ212" s="201"/>
      <c r="EA212" s="201"/>
      <c r="EB212" s="201"/>
      <c r="EC212" s="201"/>
      <c r="ED212" s="201"/>
      <c r="EE212" s="201"/>
      <c r="EF212" s="201"/>
      <c r="EG212" s="201"/>
      <c r="EH212" s="201"/>
      <c r="EI212" s="201"/>
    </row>
    <row r="213" spans="1:139" s="48" customFormat="1" ht="39.75" customHeight="1">
      <c r="A213" s="60">
        <v>414</v>
      </c>
      <c r="B213" s="108">
        <v>40507</v>
      </c>
      <c r="C213" s="62">
        <v>40507.29583333333</v>
      </c>
      <c r="D213" s="141">
        <v>19006188</v>
      </c>
      <c r="E213" s="529" t="s">
        <v>977</v>
      </c>
      <c r="F213" s="48" t="b">
        <v>0</v>
      </c>
      <c r="G213" s="48" t="s">
        <v>1487</v>
      </c>
      <c r="H213" s="529" t="s">
        <v>441</v>
      </c>
      <c r="I213" s="108">
        <v>13263</v>
      </c>
      <c r="J213" s="110">
        <v>74.641095890410952</v>
      </c>
      <c r="K213" s="85">
        <v>895.59500328731087</v>
      </c>
      <c r="L213" s="529" t="s">
        <v>442</v>
      </c>
      <c r="M213" s="495" t="s">
        <v>978</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497"/>
      <c r="AK213" s="324">
        <f t="shared" si="6"/>
        <v>0</v>
      </c>
      <c r="AL213" s="495"/>
      <c r="AM213" s="498"/>
      <c r="AN213" s="138"/>
      <c r="AO213" s="61"/>
      <c r="AP213" s="143"/>
      <c r="AQ213" s="498"/>
      <c r="AR213" s="138"/>
      <c r="AS213" s="138"/>
      <c r="AT213" s="497"/>
      <c r="AU213" s="138"/>
      <c r="AV213" s="138"/>
      <c r="AW213" s="138"/>
      <c r="AX213" s="530" t="s">
        <v>979</v>
      </c>
      <c r="AY213" s="71"/>
      <c r="AZ213" s="71">
        <v>1</v>
      </c>
      <c r="BB213" s="82"/>
      <c r="BC213" s="82"/>
      <c r="BD213" s="82"/>
      <c r="BE213" s="82"/>
      <c r="BF213" s="235"/>
      <c r="BG213" s="767"/>
      <c r="BH213" s="767"/>
      <c r="BI213" s="227"/>
      <c r="BJ213" s="140"/>
      <c r="BK213" s="140"/>
      <c r="BL213" s="140"/>
      <c r="BM213" s="140"/>
      <c r="BN213" s="140"/>
      <c r="BO213" s="140"/>
      <c r="BP213" s="140"/>
      <c r="BQ213" s="140"/>
      <c r="BR213" s="140"/>
      <c r="BS213" s="248"/>
      <c r="BT213" s="227" t="s">
        <v>736</v>
      </c>
      <c r="BU213" s="140"/>
      <c r="BV213" s="140"/>
      <c r="BW213" s="140"/>
      <c r="BX213" s="71"/>
      <c r="BY213" s="71"/>
      <c r="BZ213" s="71"/>
      <c r="CA213" s="71"/>
      <c r="CB213" s="71"/>
      <c r="CC213" s="71"/>
      <c r="CD213" s="71"/>
      <c r="CE213" s="71"/>
      <c r="CF213" s="71"/>
      <c r="CG213" s="140"/>
      <c r="CH213" s="71"/>
      <c r="CI213" s="71"/>
      <c r="CJ213" s="82">
        <v>0</v>
      </c>
      <c r="CK213" s="82">
        <v>0</v>
      </c>
      <c r="CL213" s="71"/>
      <c r="CP213" s="505"/>
      <c r="CQ213" s="505"/>
      <c r="CR213" s="108">
        <v>40488.679166666669</v>
      </c>
      <c r="CS213" s="108">
        <v>40522</v>
      </c>
      <c r="CT213" s="83">
        <v>15</v>
      </c>
      <c r="CU213" s="84"/>
      <c r="CV213" s="109"/>
      <c r="CW213" s="108"/>
      <c r="CX213" s="109"/>
      <c r="CY213" s="109"/>
      <c r="CZ213" s="109"/>
      <c r="DA213" s="108"/>
      <c r="DB213" s="109"/>
      <c r="DC213" s="108"/>
      <c r="DD213" s="109"/>
      <c r="DE213" s="108"/>
      <c r="DF213" s="109"/>
      <c r="DG213" s="108"/>
      <c r="DH213" s="108"/>
      <c r="DI213" s="71"/>
      <c r="DJ213" s="71">
        <v>0</v>
      </c>
      <c r="DK213" s="110"/>
      <c r="DL213" s="71"/>
      <c r="DM213" s="71"/>
      <c r="DN213" s="71"/>
      <c r="DO213" s="529" t="s">
        <v>821</v>
      </c>
      <c r="DP213" s="71"/>
      <c r="DQ213" s="71"/>
      <c r="DR213" s="71"/>
      <c r="DS213" s="71"/>
      <c r="DT213" s="71"/>
      <c r="DU213" s="71"/>
      <c r="DV213" s="71"/>
      <c r="DW213" s="71"/>
      <c r="DX213" s="71"/>
      <c r="DY213" s="71"/>
      <c r="DZ213" s="71"/>
      <c r="EA213" s="71"/>
      <c r="EB213" s="71"/>
      <c r="EC213" s="71"/>
      <c r="ED213" s="71"/>
      <c r="EE213" s="71"/>
      <c r="EF213" s="71"/>
      <c r="EG213" s="71"/>
      <c r="EH213" s="71"/>
      <c r="EI213" s="71"/>
    </row>
    <row r="214" spans="1:139" s="47" customFormat="1" ht="39.75" customHeight="1">
      <c r="A214" s="50">
        <v>415</v>
      </c>
      <c r="B214" s="258">
        <v>40506</v>
      </c>
      <c r="C214" s="55">
        <v>40506.798611111109</v>
      </c>
      <c r="D214" s="533">
        <v>26054534</v>
      </c>
      <c r="E214" s="527" t="s">
        <v>980</v>
      </c>
      <c r="F214" s="47" t="b">
        <v>1</v>
      </c>
      <c r="H214" s="527" t="s">
        <v>441</v>
      </c>
      <c r="I214" s="258">
        <v>27618</v>
      </c>
      <c r="J214" s="255">
        <v>35.30958904109589</v>
      </c>
      <c r="K214" s="181">
        <v>423.66863905325442</v>
      </c>
      <c r="L214" s="527" t="s">
        <v>442</v>
      </c>
      <c r="M214" s="502" t="s">
        <v>981</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523">
        <v>0</v>
      </c>
      <c r="AK214" s="323">
        <f t="shared" si="6"/>
        <v>0</v>
      </c>
      <c r="AL214" s="502"/>
      <c r="AM214" s="521">
        <v>40500</v>
      </c>
      <c r="AN214" s="487" t="s">
        <v>2006</v>
      </c>
      <c r="AO214" s="54">
        <v>40541</v>
      </c>
      <c r="AP214" s="524" t="s">
        <v>1587</v>
      </c>
      <c r="AQ214" s="521"/>
      <c r="AR214" s="487">
        <v>1</v>
      </c>
      <c r="AS214" s="487" t="s">
        <v>2012</v>
      </c>
      <c r="AT214" s="523">
        <v>0</v>
      </c>
      <c r="AU214" s="487">
        <v>0</v>
      </c>
      <c r="AV214" s="487">
        <v>0</v>
      </c>
      <c r="AW214" s="487">
        <v>1</v>
      </c>
      <c r="AX214" s="534" t="s">
        <v>982</v>
      </c>
      <c r="AY214" s="70"/>
      <c r="AZ214" s="70" t="s">
        <v>1537</v>
      </c>
      <c r="BA214" s="47">
        <v>0</v>
      </c>
      <c r="BB214" s="69">
        <v>1</v>
      </c>
      <c r="BC214" s="69"/>
      <c r="BD214" s="69">
        <v>0</v>
      </c>
      <c r="BE214" s="69">
        <v>0</v>
      </c>
      <c r="BF214" s="234">
        <v>1</v>
      </c>
      <c r="BG214" s="766">
        <v>0</v>
      </c>
      <c r="BH214" s="766"/>
      <c r="BI214" s="492">
        <v>0</v>
      </c>
      <c r="BJ214" s="493"/>
      <c r="BK214" s="493">
        <v>0</v>
      </c>
      <c r="BL214" s="493"/>
      <c r="BM214" s="493">
        <v>0</v>
      </c>
      <c r="BN214" s="493"/>
      <c r="BO214" s="493">
        <v>0</v>
      </c>
      <c r="BP214" s="493">
        <v>0</v>
      </c>
      <c r="BQ214" s="493">
        <v>0</v>
      </c>
      <c r="BR214" s="493">
        <v>0</v>
      </c>
      <c r="BS214" s="525">
        <v>0</v>
      </c>
      <c r="BT214" s="492">
        <v>1</v>
      </c>
      <c r="BU214" s="493" t="s">
        <v>1908</v>
      </c>
      <c r="BV214" s="493">
        <v>0</v>
      </c>
      <c r="BW214" s="493">
        <v>0</v>
      </c>
      <c r="BX214" s="70">
        <v>0</v>
      </c>
      <c r="BY214" s="70"/>
      <c r="BZ214" s="70"/>
      <c r="CA214" s="70"/>
      <c r="CB214" s="70">
        <v>0</v>
      </c>
      <c r="CC214" s="70">
        <v>0</v>
      </c>
      <c r="CD214" s="70">
        <v>0</v>
      </c>
      <c r="CE214" s="70"/>
      <c r="CF214" s="70"/>
      <c r="CG214" s="493"/>
      <c r="CH214" s="70">
        <v>0</v>
      </c>
      <c r="CI214" s="70"/>
      <c r="CJ214" s="69">
        <v>0</v>
      </c>
      <c r="CK214" s="69">
        <v>0</v>
      </c>
      <c r="CL214" s="70">
        <v>0</v>
      </c>
      <c r="CM214" s="47">
        <v>115</v>
      </c>
      <c r="CN214" s="47">
        <v>98</v>
      </c>
      <c r="CP214" s="504">
        <v>28.5</v>
      </c>
      <c r="CQ214" s="504">
        <v>29.5</v>
      </c>
      <c r="CR214" s="258">
        <v>40506.62222222222</v>
      </c>
      <c r="CS214" s="258">
        <v>40542</v>
      </c>
      <c r="CT214" s="78">
        <v>36</v>
      </c>
      <c r="CU214" s="79">
        <v>44292</v>
      </c>
      <c r="CV214" s="307">
        <v>0</v>
      </c>
      <c r="CW214" s="258"/>
      <c r="CX214" s="307">
        <v>0</v>
      </c>
      <c r="CY214" s="307">
        <v>0</v>
      </c>
      <c r="CZ214" s="307">
        <v>0</v>
      </c>
      <c r="DA214" s="258"/>
      <c r="DB214" s="307">
        <v>0</v>
      </c>
      <c r="DC214" s="258"/>
      <c r="DD214" s="307">
        <v>0</v>
      </c>
      <c r="DE214" s="258"/>
      <c r="DF214" s="307">
        <v>0</v>
      </c>
      <c r="DG214" s="258"/>
      <c r="DH214" s="258"/>
      <c r="DI214" s="70"/>
      <c r="DJ214" s="70">
        <v>0</v>
      </c>
      <c r="DK214" s="255"/>
      <c r="DL214" s="70"/>
      <c r="DM214" s="70"/>
      <c r="DN214" s="70"/>
      <c r="DO214" s="527" t="s">
        <v>821</v>
      </c>
      <c r="DP214" s="70"/>
      <c r="DQ214" s="70"/>
      <c r="DR214" s="70"/>
      <c r="DS214" s="70"/>
      <c r="DT214" s="70"/>
      <c r="DU214" s="70"/>
      <c r="DV214" s="524" t="b">
        <v>0</v>
      </c>
      <c r="DW214" s="70"/>
      <c r="DX214" s="70"/>
      <c r="DY214" s="70"/>
      <c r="DZ214" s="70"/>
      <c r="EA214" s="70"/>
      <c r="EB214" s="70"/>
      <c r="EC214" s="70"/>
      <c r="ED214" s="70"/>
      <c r="EE214" s="70"/>
      <c r="EF214" s="70"/>
      <c r="EG214" s="70"/>
      <c r="EH214" s="70"/>
      <c r="EI214" s="70"/>
    </row>
    <row r="215" spans="1:139" s="47" customFormat="1" ht="39.75" customHeight="1">
      <c r="A215" s="50">
        <v>419</v>
      </c>
      <c r="B215" s="258">
        <v>40486</v>
      </c>
      <c r="C215" s="55">
        <v>40486.804166666669</v>
      </c>
      <c r="D215" s="533">
        <v>25842257</v>
      </c>
      <c r="E215" s="527" t="s">
        <v>983</v>
      </c>
      <c r="F215" s="47" t="b">
        <v>1</v>
      </c>
      <c r="H215" s="527" t="s">
        <v>418</v>
      </c>
      <c r="I215" s="258">
        <v>20727</v>
      </c>
      <c r="J215" s="255">
        <v>54.134246575342466</v>
      </c>
      <c r="K215" s="181">
        <v>649.5397764628533</v>
      </c>
      <c r="L215" s="527" t="s">
        <v>967</v>
      </c>
      <c r="M215" s="535" t="s">
        <v>984</v>
      </c>
      <c r="N215" s="47">
        <v>171</v>
      </c>
      <c r="O215" s="47">
        <v>65.2</v>
      </c>
      <c r="P215" s="47">
        <f t="shared" si="7"/>
        <v>22.297459047228209</v>
      </c>
      <c r="Q215" s="521">
        <v>40457</v>
      </c>
      <c r="R215" s="47">
        <v>1</v>
      </c>
      <c r="S215" s="47">
        <v>0</v>
      </c>
      <c r="T215" s="47">
        <v>1</v>
      </c>
      <c r="U215" s="47">
        <v>1</v>
      </c>
      <c r="V215" s="536" t="s">
        <v>1829</v>
      </c>
      <c r="W215" s="47">
        <v>0</v>
      </c>
      <c r="X215" s="47">
        <v>0</v>
      </c>
      <c r="Y215" s="215">
        <v>1</v>
      </c>
      <c r="Z215" s="434">
        <v>1</v>
      </c>
      <c r="AA215" s="435">
        <v>0</v>
      </c>
      <c r="AB215" s="435">
        <v>0</v>
      </c>
      <c r="AC215" s="435">
        <v>0</v>
      </c>
      <c r="AD215" s="435">
        <v>0</v>
      </c>
      <c r="AE215" s="435">
        <v>0</v>
      </c>
      <c r="AF215" s="435">
        <v>0</v>
      </c>
      <c r="AG215" s="435">
        <v>0</v>
      </c>
      <c r="AH215" s="435">
        <v>0</v>
      </c>
      <c r="AI215" s="435">
        <v>0</v>
      </c>
      <c r="AJ215" s="435">
        <v>0</v>
      </c>
      <c r="AK215" s="323">
        <f t="shared" si="6"/>
        <v>0</v>
      </c>
      <c r="AL215" s="535" t="s">
        <v>2015</v>
      </c>
      <c r="AM215" s="436">
        <v>40464</v>
      </c>
      <c r="AN215" s="536" t="s">
        <v>2013</v>
      </c>
      <c r="AO215" s="54">
        <v>40534</v>
      </c>
      <c r="AP215" s="527" t="s">
        <v>1489</v>
      </c>
      <c r="AQ215" s="436">
        <v>40464</v>
      </c>
      <c r="AR215" s="536" t="s">
        <v>1829</v>
      </c>
      <c r="AS215" s="536" t="s">
        <v>2014</v>
      </c>
      <c r="AT215" s="435">
        <v>1</v>
      </c>
      <c r="AU215" s="536" t="s">
        <v>1826</v>
      </c>
      <c r="AV215" s="536" t="s">
        <v>1829</v>
      </c>
      <c r="AW215" s="536" t="s">
        <v>1829</v>
      </c>
      <c r="AX215" s="537" t="s">
        <v>985</v>
      </c>
      <c r="AY215" s="70"/>
      <c r="AZ215" s="70" t="s">
        <v>1507</v>
      </c>
      <c r="BA215" s="47">
        <v>0</v>
      </c>
      <c r="BB215" s="69">
        <v>1</v>
      </c>
      <c r="BC215" s="69">
        <v>35</v>
      </c>
      <c r="BD215" s="69">
        <v>0</v>
      </c>
      <c r="BE215" s="69">
        <v>0</v>
      </c>
      <c r="BF215" s="234">
        <v>1</v>
      </c>
      <c r="BG215" s="766">
        <v>1</v>
      </c>
      <c r="BH215" s="766" t="s">
        <v>2192</v>
      </c>
      <c r="BI215" s="492">
        <v>0</v>
      </c>
      <c r="BJ215" s="493"/>
      <c r="BK215" s="493">
        <v>0</v>
      </c>
      <c r="BL215" s="493"/>
      <c r="BM215" s="493">
        <v>0</v>
      </c>
      <c r="BN215" s="493"/>
      <c r="BO215" s="493">
        <v>0</v>
      </c>
      <c r="BP215" s="493">
        <v>0</v>
      </c>
      <c r="BQ215" s="493">
        <v>0</v>
      </c>
      <c r="BR215" s="493">
        <v>0</v>
      </c>
      <c r="BS215" s="525">
        <v>0</v>
      </c>
      <c r="BT215" s="492">
        <v>1</v>
      </c>
      <c r="BU215" s="493" t="s">
        <v>2016</v>
      </c>
      <c r="BV215" s="493">
        <v>0</v>
      </c>
      <c r="BW215" s="493">
        <v>0</v>
      </c>
      <c r="BX215" s="70">
        <v>0</v>
      </c>
      <c r="BY215" s="70"/>
      <c r="BZ215" s="70"/>
      <c r="CA215" s="70"/>
      <c r="CB215" s="70">
        <v>0</v>
      </c>
      <c r="CC215" s="70">
        <v>0</v>
      </c>
      <c r="CD215" s="70">
        <v>0</v>
      </c>
      <c r="CE215" s="70"/>
      <c r="CF215" s="70"/>
      <c r="CG215" s="493"/>
      <c r="CH215" s="70">
        <v>0</v>
      </c>
      <c r="CI215" s="70"/>
      <c r="CJ215" s="69">
        <v>0</v>
      </c>
      <c r="CK215" s="69">
        <v>0</v>
      </c>
      <c r="CL215" s="70">
        <v>1</v>
      </c>
      <c r="CM215" s="47">
        <v>308</v>
      </c>
      <c r="CN215" s="47">
        <v>242</v>
      </c>
      <c r="CP215" s="504">
        <v>14.3</v>
      </c>
      <c r="CQ215" s="504">
        <v>19</v>
      </c>
      <c r="CR215" s="258">
        <v>40485.775000000001</v>
      </c>
      <c r="CS215" s="258">
        <v>40554</v>
      </c>
      <c r="CT215" s="78">
        <v>68</v>
      </c>
      <c r="CU215" s="79">
        <v>42157</v>
      </c>
      <c r="CV215" s="307">
        <v>0</v>
      </c>
      <c r="CW215" s="258"/>
      <c r="CX215" s="307">
        <v>0</v>
      </c>
      <c r="CY215" s="307">
        <v>0</v>
      </c>
      <c r="CZ215" s="307">
        <v>0</v>
      </c>
      <c r="DA215" s="258"/>
      <c r="DB215" s="307">
        <v>0</v>
      </c>
      <c r="DC215" s="258"/>
      <c r="DD215" s="307">
        <v>0</v>
      </c>
      <c r="DE215" s="258"/>
      <c r="DF215" s="307">
        <v>0</v>
      </c>
      <c r="DG215" s="258"/>
      <c r="DH215" s="258"/>
      <c r="DI215" s="70" t="s">
        <v>986</v>
      </c>
      <c r="DJ215" s="70">
        <v>0</v>
      </c>
      <c r="DK215" s="255"/>
      <c r="DL215" s="70"/>
      <c r="DM215" s="70"/>
      <c r="DN215" s="70"/>
      <c r="DO215" s="527" t="s">
        <v>821</v>
      </c>
      <c r="DP215" s="70"/>
      <c r="DQ215" s="70"/>
      <c r="DR215" s="70"/>
      <c r="DS215" s="70"/>
      <c r="DT215" s="70"/>
      <c r="DU215" s="70"/>
      <c r="DV215" s="524" t="b">
        <v>0</v>
      </c>
      <c r="DW215" s="70"/>
      <c r="DX215" s="70"/>
      <c r="DY215" s="70"/>
      <c r="DZ215" s="70"/>
      <c r="EA215" s="70"/>
      <c r="EB215" s="70"/>
      <c r="EC215" s="70"/>
      <c r="ED215" s="70"/>
      <c r="EE215" s="70"/>
      <c r="EF215" s="70"/>
      <c r="EG215" s="70"/>
      <c r="EH215" s="70"/>
      <c r="EI215" s="70"/>
    </row>
    <row r="216" spans="1:139" s="47" customFormat="1" ht="39.75" customHeight="1">
      <c r="A216" s="50">
        <v>420</v>
      </c>
      <c r="B216" s="258">
        <v>40473</v>
      </c>
      <c r="C216" s="55">
        <v>40473.552083333336</v>
      </c>
      <c r="D216" s="533">
        <v>25860710</v>
      </c>
      <c r="E216" s="527" t="s">
        <v>987</v>
      </c>
      <c r="F216" s="47" t="b">
        <v>1</v>
      </c>
      <c r="H216" s="527" t="s">
        <v>441</v>
      </c>
      <c r="I216" s="258">
        <v>21736</v>
      </c>
      <c r="J216" s="255">
        <v>51.334246575342469</v>
      </c>
      <c r="K216" s="181">
        <v>615.94345825115056</v>
      </c>
      <c r="L216" s="527" t="s">
        <v>500</v>
      </c>
      <c r="M216" s="535" t="s">
        <v>988</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v>0</v>
      </c>
      <c r="AK216" s="323">
        <f t="shared" si="6"/>
        <v>0</v>
      </c>
      <c r="AL216" s="186" t="s">
        <v>989</v>
      </c>
      <c r="AM216" s="58">
        <v>40441</v>
      </c>
      <c r="AN216" s="52" t="s">
        <v>1536</v>
      </c>
      <c r="AO216" s="54">
        <v>40500</v>
      </c>
      <c r="AP216" s="50" t="s">
        <v>187</v>
      </c>
      <c r="AQ216" s="58">
        <v>40439</v>
      </c>
      <c r="AR216" s="52">
        <v>1</v>
      </c>
      <c r="AS216" s="52" t="s">
        <v>990</v>
      </c>
      <c r="AT216" s="323">
        <v>0</v>
      </c>
      <c r="AU216" s="52">
        <v>1</v>
      </c>
      <c r="AV216" s="52">
        <v>0</v>
      </c>
      <c r="AW216" s="52">
        <v>1</v>
      </c>
      <c r="AX216" s="537" t="s">
        <v>991</v>
      </c>
      <c r="AY216" s="70"/>
      <c r="AZ216" s="70" t="s">
        <v>1481</v>
      </c>
      <c r="BA216" s="47">
        <v>0</v>
      </c>
      <c r="BB216" s="69">
        <v>1</v>
      </c>
      <c r="BC216" s="69">
        <v>3</v>
      </c>
      <c r="BD216" s="69">
        <v>0</v>
      </c>
      <c r="BE216" s="69">
        <v>0</v>
      </c>
      <c r="BF216" s="234">
        <v>0</v>
      </c>
      <c r="BG216" s="766">
        <v>0</v>
      </c>
      <c r="BH216" s="766"/>
      <c r="BI216" s="492">
        <v>1</v>
      </c>
      <c r="BJ216" s="493"/>
      <c r="BK216" s="494">
        <v>1</v>
      </c>
      <c r="BL216" s="494" t="s">
        <v>2017</v>
      </c>
      <c r="BM216" s="493">
        <v>1</v>
      </c>
      <c r="BN216" s="494" t="s">
        <v>2018</v>
      </c>
      <c r="BO216" s="493">
        <v>1</v>
      </c>
      <c r="BP216" s="493">
        <v>1</v>
      </c>
      <c r="BQ216" s="493">
        <v>0</v>
      </c>
      <c r="BR216" s="493">
        <v>0</v>
      </c>
      <c r="BS216" s="467">
        <v>0</v>
      </c>
      <c r="BT216" s="492">
        <v>0</v>
      </c>
      <c r="BU216" s="493"/>
      <c r="BV216" s="493">
        <v>0</v>
      </c>
      <c r="BW216" s="493">
        <v>1</v>
      </c>
      <c r="BX216" s="70">
        <v>1</v>
      </c>
      <c r="BY216" s="70"/>
      <c r="BZ216" s="70" t="s">
        <v>1503</v>
      </c>
      <c r="CA216" s="80" t="s">
        <v>2019</v>
      </c>
      <c r="CB216" s="77">
        <v>0</v>
      </c>
      <c r="CC216" s="77">
        <v>0</v>
      </c>
      <c r="CD216" s="77">
        <v>0</v>
      </c>
      <c r="CE216" s="77"/>
      <c r="CF216" s="77"/>
      <c r="CG216" s="493"/>
      <c r="CH216" s="70">
        <v>0</v>
      </c>
      <c r="CI216" s="70"/>
      <c r="CJ216" s="69">
        <v>0</v>
      </c>
      <c r="CK216" s="69">
        <v>0</v>
      </c>
      <c r="CL216" s="70">
        <v>0</v>
      </c>
      <c r="CM216" s="47">
        <v>240</v>
      </c>
      <c r="CN216" s="47">
        <v>179</v>
      </c>
      <c r="CP216" s="504">
        <v>29.3</v>
      </c>
      <c r="CQ216" s="504">
        <v>29.7</v>
      </c>
      <c r="CR216" s="258">
        <v>40472.570138888892</v>
      </c>
      <c r="CS216" s="258">
        <v>40500</v>
      </c>
      <c r="CT216" s="78">
        <v>27</v>
      </c>
      <c r="CU216" s="79">
        <v>44301</v>
      </c>
      <c r="CV216" s="307">
        <v>0</v>
      </c>
      <c r="CW216" s="258"/>
      <c r="CX216" s="307">
        <v>0</v>
      </c>
      <c r="CY216" s="307">
        <v>0</v>
      </c>
      <c r="CZ216" s="307">
        <v>0</v>
      </c>
      <c r="DA216" s="258"/>
      <c r="DB216" s="307">
        <v>0</v>
      </c>
      <c r="DC216" s="258"/>
      <c r="DD216" s="307">
        <v>0</v>
      </c>
      <c r="DE216" s="258"/>
      <c r="DF216" s="307">
        <v>0</v>
      </c>
      <c r="DG216" s="258"/>
      <c r="DH216" s="258"/>
      <c r="DI216" s="70" t="s">
        <v>986</v>
      </c>
      <c r="DJ216" s="70">
        <v>0</v>
      </c>
      <c r="DK216" s="255"/>
      <c r="DL216" s="70"/>
      <c r="DM216" s="70"/>
      <c r="DN216" s="70"/>
      <c r="DO216" s="527" t="s">
        <v>821</v>
      </c>
      <c r="DP216" s="70"/>
      <c r="DQ216" s="70"/>
      <c r="DR216" s="70"/>
      <c r="DS216" s="70"/>
      <c r="DT216" s="70"/>
      <c r="DU216" s="70"/>
      <c r="DV216" s="70"/>
      <c r="DW216" s="70"/>
      <c r="DX216" s="70"/>
      <c r="DY216" s="70"/>
      <c r="DZ216" s="70"/>
      <c r="EA216" s="70"/>
      <c r="EB216" s="70"/>
      <c r="EC216" s="70"/>
      <c r="ED216" s="70"/>
      <c r="EE216" s="70"/>
      <c r="EF216" s="70"/>
      <c r="EG216" s="70"/>
      <c r="EH216" s="70"/>
      <c r="EI216" s="70"/>
    </row>
    <row r="217" spans="1:139" s="47" customFormat="1" ht="39.75" customHeight="1">
      <c r="A217" s="50">
        <v>421</v>
      </c>
      <c r="B217" s="258">
        <v>40452</v>
      </c>
      <c r="C217" s="55">
        <v>40452.342361111114</v>
      </c>
      <c r="D217" s="533">
        <v>25777005</v>
      </c>
      <c r="E217" s="527" t="s">
        <v>992</v>
      </c>
      <c r="F217" s="47" t="b">
        <v>1</v>
      </c>
      <c r="H217" s="527" t="s">
        <v>418</v>
      </c>
      <c r="I217" s="258">
        <v>18378</v>
      </c>
      <c r="J217" s="255">
        <v>60.476712328767121</v>
      </c>
      <c r="K217" s="181">
        <v>725.64102564102564</v>
      </c>
      <c r="L217" s="527" t="s">
        <v>500</v>
      </c>
      <c r="M217" s="502" t="s">
        <v>993</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v>0</v>
      </c>
      <c r="AK217" s="323">
        <f t="shared" si="6"/>
        <v>0</v>
      </c>
      <c r="AL217" s="186"/>
      <c r="AM217" s="58">
        <v>40448</v>
      </c>
      <c r="AN217" s="52" t="s">
        <v>1536</v>
      </c>
      <c r="AO217" s="54">
        <v>40490</v>
      </c>
      <c r="AP217" s="50" t="s">
        <v>2020</v>
      </c>
      <c r="AQ217" s="58">
        <v>40452</v>
      </c>
      <c r="AR217" s="52">
        <v>1</v>
      </c>
      <c r="AS217" s="52" t="s">
        <v>1518</v>
      </c>
      <c r="AT217" s="323">
        <v>0</v>
      </c>
      <c r="AU217" s="52">
        <v>1</v>
      </c>
      <c r="AV217" s="52">
        <v>0</v>
      </c>
      <c r="AW217" s="52">
        <v>1</v>
      </c>
      <c r="AX217" s="534" t="s">
        <v>994</v>
      </c>
      <c r="AY217" s="70"/>
      <c r="AZ217" s="70" t="s">
        <v>1503</v>
      </c>
      <c r="BA217" s="47">
        <v>0</v>
      </c>
      <c r="BB217" s="69">
        <v>1</v>
      </c>
      <c r="BC217" s="69"/>
      <c r="BD217" s="69">
        <v>0</v>
      </c>
      <c r="BE217" s="69">
        <v>0</v>
      </c>
      <c r="BF217" s="234">
        <v>1</v>
      </c>
      <c r="BG217" s="766">
        <v>0</v>
      </c>
      <c r="BH217" s="766"/>
      <c r="BI217" s="492">
        <v>1</v>
      </c>
      <c r="BJ217" s="493"/>
      <c r="BK217" s="493">
        <v>1</v>
      </c>
      <c r="BL217" s="493" t="s">
        <v>2021</v>
      </c>
      <c r="BM217" s="493">
        <v>1</v>
      </c>
      <c r="BN217" s="493" t="s">
        <v>2022</v>
      </c>
      <c r="BO217" s="493">
        <v>1</v>
      </c>
      <c r="BP217" s="493">
        <v>0</v>
      </c>
      <c r="BQ217" s="493">
        <v>0</v>
      </c>
      <c r="BR217" s="493">
        <v>0</v>
      </c>
      <c r="BS217" s="467">
        <v>0</v>
      </c>
      <c r="BT217" s="492">
        <v>0</v>
      </c>
      <c r="BU217" s="493"/>
      <c r="BV217" s="493">
        <v>0</v>
      </c>
      <c r="BW217" s="493">
        <v>1</v>
      </c>
      <c r="BX217" s="70">
        <v>1</v>
      </c>
      <c r="BY217" s="70"/>
      <c r="BZ217" s="70" t="s">
        <v>1507</v>
      </c>
      <c r="CA217" s="70" t="s">
        <v>2023</v>
      </c>
      <c r="CB217" s="77">
        <v>0</v>
      </c>
      <c r="CC217" s="77">
        <v>0</v>
      </c>
      <c r="CD217" s="77">
        <v>0</v>
      </c>
      <c r="CE217" s="77"/>
      <c r="CF217" s="77"/>
      <c r="CG217" s="493"/>
      <c r="CH217" s="70">
        <v>0</v>
      </c>
      <c r="CI217" s="70"/>
      <c r="CJ217" s="69">
        <v>0</v>
      </c>
      <c r="CK217" s="69">
        <v>0</v>
      </c>
      <c r="CL217" s="70">
        <v>0</v>
      </c>
      <c r="CM217" s="47">
        <v>166</v>
      </c>
      <c r="CN217" s="47">
        <v>142</v>
      </c>
      <c r="CP217" s="504">
        <v>29.2</v>
      </c>
      <c r="CQ217" s="504">
        <v>29.7</v>
      </c>
      <c r="CR217" s="258">
        <v>40450.640972222223</v>
      </c>
      <c r="CS217" s="258">
        <v>40491</v>
      </c>
      <c r="CT217" s="78">
        <v>39</v>
      </c>
      <c r="CU217" s="79">
        <v>44091</v>
      </c>
      <c r="CV217" s="307">
        <v>0</v>
      </c>
      <c r="CW217" s="258"/>
      <c r="CX217" s="307">
        <v>0</v>
      </c>
      <c r="CY217" s="307">
        <v>0</v>
      </c>
      <c r="CZ217" s="307">
        <v>0</v>
      </c>
      <c r="DA217" s="258"/>
      <c r="DB217" s="307">
        <v>0</v>
      </c>
      <c r="DC217" s="258"/>
      <c r="DD217" s="307">
        <v>0</v>
      </c>
      <c r="DE217" s="258"/>
      <c r="DF217" s="307">
        <v>0</v>
      </c>
      <c r="DG217" s="258"/>
      <c r="DH217" s="258"/>
      <c r="DI217" s="70"/>
      <c r="DJ217" s="70">
        <v>0</v>
      </c>
      <c r="DK217" s="255"/>
      <c r="DL217" s="70"/>
      <c r="DM217" s="70"/>
      <c r="DN217" s="70"/>
      <c r="DO217" s="527" t="s">
        <v>821</v>
      </c>
      <c r="DP217" s="70"/>
      <c r="DQ217" s="70"/>
      <c r="DR217" s="70"/>
      <c r="DS217" s="70"/>
      <c r="DT217" s="70"/>
      <c r="DU217" s="70"/>
      <c r="DV217" s="70"/>
      <c r="DW217" s="70"/>
      <c r="DX217" s="70"/>
      <c r="DY217" s="70"/>
      <c r="DZ217" s="70"/>
      <c r="EA217" s="70"/>
      <c r="EB217" s="70"/>
      <c r="EC217" s="70"/>
      <c r="ED217" s="70"/>
      <c r="EE217" s="70"/>
      <c r="EF217" s="70"/>
      <c r="EG217" s="70"/>
      <c r="EH217" s="70"/>
      <c r="EI217" s="70"/>
    </row>
    <row r="218" spans="1:139" s="47" customFormat="1" ht="39.75" customHeight="1">
      <c r="A218" s="50">
        <v>422</v>
      </c>
      <c r="B218" s="258">
        <v>40442</v>
      </c>
      <c r="C218" s="55">
        <v>40442</v>
      </c>
      <c r="D218" s="533">
        <v>25745787</v>
      </c>
      <c r="E218" s="527" t="s">
        <v>995</v>
      </c>
      <c r="F218" s="47" t="b">
        <v>1</v>
      </c>
      <c r="H218" s="527" t="s">
        <v>418</v>
      </c>
      <c r="I218" s="258">
        <v>16063</v>
      </c>
      <c r="J218" s="255">
        <v>66.789041095890411</v>
      </c>
      <c r="K218" s="181">
        <v>801.38067061143977</v>
      </c>
      <c r="L218" s="527" t="s">
        <v>500</v>
      </c>
      <c r="M218" s="502" t="s">
        <v>996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v>0</v>
      </c>
      <c r="AK218" s="323">
        <f t="shared" si="6"/>
        <v>0</v>
      </c>
      <c r="AL218" s="186"/>
      <c r="AM218" s="58">
        <v>40441</v>
      </c>
      <c r="AN218" s="52" t="s">
        <v>2024</v>
      </c>
      <c r="AO218" s="54">
        <v>40490</v>
      </c>
      <c r="AP218" s="50" t="s">
        <v>187</v>
      </c>
      <c r="AQ218" s="58">
        <v>40442</v>
      </c>
      <c r="AR218" s="52">
        <v>1</v>
      </c>
      <c r="AS218" s="52" t="s">
        <v>997</v>
      </c>
      <c r="AT218" s="323">
        <v>0</v>
      </c>
      <c r="AU218" s="52">
        <v>0</v>
      </c>
      <c r="AV218" s="52">
        <v>0</v>
      </c>
      <c r="AW218" s="52">
        <v>1</v>
      </c>
      <c r="AX218" s="534" t="s">
        <v>998</v>
      </c>
      <c r="AY218" s="70"/>
      <c r="AZ218" s="70" t="s">
        <v>1747</v>
      </c>
      <c r="BA218" s="47">
        <v>0</v>
      </c>
      <c r="BB218" s="69">
        <v>1</v>
      </c>
      <c r="BC218" s="69">
        <v>25</v>
      </c>
      <c r="BD218" s="69">
        <v>0</v>
      </c>
      <c r="BE218" s="69">
        <v>0</v>
      </c>
      <c r="BF218" s="234">
        <v>0</v>
      </c>
      <c r="BG218" s="766">
        <v>0</v>
      </c>
      <c r="BH218" s="766"/>
      <c r="BI218" s="492">
        <v>1</v>
      </c>
      <c r="BJ218" s="493"/>
      <c r="BK218" s="493">
        <v>0</v>
      </c>
      <c r="BL218" s="493"/>
      <c r="BM218" s="493">
        <v>1</v>
      </c>
      <c r="BN218" s="493" t="s">
        <v>2025</v>
      </c>
      <c r="BO218" s="493">
        <v>0</v>
      </c>
      <c r="BP218" s="493">
        <v>0</v>
      </c>
      <c r="BQ218" s="493">
        <v>0</v>
      </c>
      <c r="BR218" s="493">
        <v>1</v>
      </c>
      <c r="BS218" s="467">
        <v>0</v>
      </c>
      <c r="BT218" s="492">
        <v>0</v>
      </c>
      <c r="BU218" s="493"/>
      <c r="BV218" s="493">
        <v>0</v>
      </c>
      <c r="BW218" s="493">
        <v>0</v>
      </c>
      <c r="BX218" s="70">
        <v>0</v>
      </c>
      <c r="BY218" s="70"/>
      <c r="BZ218" s="70"/>
      <c r="CA218" s="70"/>
      <c r="CB218" s="77">
        <v>0</v>
      </c>
      <c r="CC218" s="77">
        <v>0</v>
      </c>
      <c r="CD218" s="77">
        <v>0</v>
      </c>
      <c r="CE218" s="77"/>
      <c r="CF218" s="77"/>
      <c r="CG218" s="493"/>
      <c r="CH218" s="70">
        <v>0</v>
      </c>
      <c r="CI218" s="70"/>
      <c r="CJ218" s="69">
        <v>0</v>
      </c>
      <c r="CK218" s="69">
        <v>0</v>
      </c>
      <c r="CL218" s="70">
        <v>0</v>
      </c>
      <c r="CM218" s="47">
        <v>77</v>
      </c>
      <c r="CN218" s="47">
        <v>50</v>
      </c>
      <c r="CP218" s="504">
        <v>29.2</v>
      </c>
      <c r="CQ218" s="504">
        <v>31.5</v>
      </c>
      <c r="CR218" s="258">
        <v>40441.931944444441</v>
      </c>
      <c r="CS218" s="258">
        <v>40490</v>
      </c>
      <c r="CT218" s="78">
        <v>49</v>
      </c>
      <c r="CU218" s="79">
        <v>43986</v>
      </c>
      <c r="CV218" s="307">
        <v>0</v>
      </c>
      <c r="CW218" s="258"/>
      <c r="CX218" s="307">
        <v>0</v>
      </c>
      <c r="CY218" s="307">
        <v>0</v>
      </c>
      <c r="CZ218" s="307">
        <v>0</v>
      </c>
      <c r="DA218" s="258"/>
      <c r="DB218" s="307">
        <v>0</v>
      </c>
      <c r="DC218" s="258"/>
      <c r="DD218" s="307">
        <v>0</v>
      </c>
      <c r="DE218" s="258"/>
      <c r="DF218" s="307">
        <v>0</v>
      </c>
      <c r="DG218" s="258"/>
      <c r="DH218" s="258"/>
      <c r="DI218" s="70"/>
      <c r="DJ218" s="70">
        <v>0</v>
      </c>
      <c r="DK218" s="255"/>
      <c r="DL218" s="70"/>
      <c r="DM218" s="70"/>
      <c r="DN218" s="70"/>
      <c r="DO218" s="527" t="s">
        <v>821</v>
      </c>
      <c r="DP218" s="70"/>
      <c r="DQ218" s="70"/>
      <c r="DR218" s="70"/>
      <c r="DS218" s="70"/>
      <c r="DT218" s="70"/>
      <c r="DU218" s="70"/>
      <c r="DV218" s="70"/>
      <c r="DW218" s="70"/>
      <c r="DX218" s="70"/>
      <c r="DY218" s="70"/>
      <c r="DZ218" s="70"/>
      <c r="EA218" s="70"/>
      <c r="EB218" s="70"/>
      <c r="EC218" s="70"/>
      <c r="ED218" s="70"/>
      <c r="EE218" s="70"/>
      <c r="EF218" s="70"/>
      <c r="EG218" s="70"/>
      <c r="EH218" s="70"/>
      <c r="EI218" s="70"/>
    </row>
    <row r="219" spans="1:139" s="47" customFormat="1" ht="39.75" customHeight="1">
      <c r="A219" s="50">
        <v>423</v>
      </c>
      <c r="B219" s="258">
        <v>40435</v>
      </c>
      <c r="C219" s="55">
        <v>40435.796527777777</v>
      </c>
      <c r="D219" s="533">
        <v>25588180</v>
      </c>
      <c r="E219" s="527" t="s">
        <v>999</v>
      </c>
      <c r="F219" s="47" t="b">
        <v>1</v>
      </c>
      <c r="H219" s="527" t="s">
        <v>418</v>
      </c>
      <c r="I219" s="258">
        <v>24027</v>
      </c>
      <c r="J219" s="255">
        <v>44.953424657534249</v>
      </c>
      <c r="K219" s="181">
        <v>539.38198553583163</v>
      </c>
      <c r="L219" s="527" t="s">
        <v>442</v>
      </c>
      <c r="M219" s="502" t="s">
        <v>1000</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523">
        <v>0</v>
      </c>
      <c r="AK219" s="323">
        <v>0</v>
      </c>
      <c r="AL219" s="502" t="s">
        <v>2026</v>
      </c>
      <c r="AM219" s="521">
        <v>40421</v>
      </c>
      <c r="AN219" s="487" t="s">
        <v>2027</v>
      </c>
      <c r="AO219" s="54">
        <v>40449</v>
      </c>
      <c r="AP219" s="524" t="s">
        <v>1489</v>
      </c>
      <c r="AQ219" s="521">
        <v>40415</v>
      </c>
      <c r="AR219" s="487">
        <v>0</v>
      </c>
      <c r="AS219" s="487"/>
      <c r="AT219" s="523">
        <v>0</v>
      </c>
      <c r="AU219" s="487">
        <v>1</v>
      </c>
      <c r="AV219" s="487">
        <v>0</v>
      </c>
      <c r="AW219" s="487">
        <v>1</v>
      </c>
      <c r="AX219" s="534" t="s">
        <v>1001</v>
      </c>
      <c r="AY219" s="70"/>
      <c r="AZ219" s="70" t="s">
        <v>1503</v>
      </c>
      <c r="BA219" s="47">
        <v>0</v>
      </c>
      <c r="BB219" s="69">
        <v>1</v>
      </c>
      <c r="BC219" s="69">
        <v>15</v>
      </c>
      <c r="BD219" s="69">
        <v>0</v>
      </c>
      <c r="BE219" s="69">
        <v>0</v>
      </c>
      <c r="BF219" s="234">
        <v>0</v>
      </c>
      <c r="BG219" s="766">
        <v>1</v>
      </c>
      <c r="BH219" s="766" t="s">
        <v>2192</v>
      </c>
      <c r="BI219" s="492">
        <v>0</v>
      </c>
      <c r="BJ219" s="493"/>
      <c r="BK219" s="493">
        <v>0</v>
      </c>
      <c r="BL219" s="493"/>
      <c r="BM219" s="493">
        <v>0</v>
      </c>
      <c r="BN219" s="493"/>
      <c r="BO219" s="493">
        <v>0</v>
      </c>
      <c r="BP219" s="493">
        <v>0</v>
      </c>
      <c r="BQ219" s="493">
        <v>0</v>
      </c>
      <c r="BR219" s="493">
        <v>0</v>
      </c>
      <c r="BS219" s="525">
        <v>0</v>
      </c>
      <c r="BT219" s="492">
        <v>1</v>
      </c>
      <c r="BU219" s="493" t="s">
        <v>2028</v>
      </c>
      <c r="BV219" s="493">
        <v>0</v>
      </c>
      <c r="BW219" s="493">
        <v>0</v>
      </c>
      <c r="BX219" s="70">
        <v>0</v>
      </c>
      <c r="BY219" s="70"/>
      <c r="BZ219" s="70"/>
      <c r="CA219" s="70"/>
      <c r="CB219" s="70">
        <v>0</v>
      </c>
      <c r="CC219" s="70">
        <v>0</v>
      </c>
      <c r="CD219" s="70">
        <v>0</v>
      </c>
      <c r="CE219" s="70"/>
      <c r="CF219" s="70"/>
      <c r="CG219" s="493"/>
      <c r="CH219" s="70">
        <v>0</v>
      </c>
      <c r="CI219" s="80"/>
      <c r="CJ219" s="69">
        <v>0</v>
      </c>
      <c r="CK219" s="69">
        <v>0</v>
      </c>
      <c r="CL219" s="70">
        <v>0</v>
      </c>
      <c r="CM219" s="47">
        <v>153</v>
      </c>
      <c r="CN219" s="47">
        <v>123</v>
      </c>
      <c r="CP219" s="504">
        <v>30</v>
      </c>
      <c r="CQ219" s="504">
        <v>31</v>
      </c>
      <c r="CR219" s="258">
        <v>40435.736111111109</v>
      </c>
      <c r="CS219" s="258">
        <v>40473</v>
      </c>
      <c r="CT219" s="78">
        <v>38</v>
      </c>
      <c r="CU219" s="79">
        <v>42237</v>
      </c>
      <c r="CV219" s="307">
        <v>1</v>
      </c>
      <c r="CW219" s="258"/>
      <c r="CX219" s="307">
        <v>0</v>
      </c>
      <c r="CY219" s="307">
        <v>0</v>
      </c>
      <c r="CZ219" s="307">
        <v>1</v>
      </c>
      <c r="DA219" s="258" t="s">
        <v>2029</v>
      </c>
      <c r="DB219" s="307">
        <v>0</v>
      </c>
      <c r="DC219" s="258"/>
      <c r="DD219" s="307">
        <v>0</v>
      </c>
      <c r="DE219" s="258"/>
      <c r="DF219" s="307">
        <v>0</v>
      </c>
      <c r="DG219" s="258"/>
      <c r="DH219" s="258"/>
      <c r="DI219" s="70"/>
      <c r="DJ219" s="70">
        <v>0</v>
      </c>
      <c r="DK219" s="255"/>
      <c r="DL219" s="70"/>
      <c r="DM219" s="70"/>
      <c r="DN219" s="70"/>
      <c r="DO219" s="527" t="s">
        <v>821</v>
      </c>
      <c r="DP219" s="70"/>
      <c r="DQ219" s="70"/>
      <c r="DR219" s="70"/>
      <c r="DS219" s="70"/>
      <c r="DT219" s="70"/>
      <c r="DU219" s="70"/>
      <c r="DV219" s="524" t="b">
        <v>0</v>
      </c>
      <c r="DW219" s="70"/>
      <c r="DX219" s="70"/>
      <c r="DY219" s="70"/>
      <c r="DZ219" s="70"/>
      <c r="EA219" s="70"/>
      <c r="EB219" s="70"/>
      <c r="EC219" s="70"/>
      <c r="ED219" s="70"/>
      <c r="EE219" s="70"/>
      <c r="EF219" s="70"/>
      <c r="EG219" s="70"/>
      <c r="EH219" s="70"/>
      <c r="EI219" s="70"/>
    </row>
    <row r="220" spans="1:139" s="544" customFormat="1" ht="39.75" customHeight="1">
      <c r="A220" s="539">
        <v>426</v>
      </c>
      <c r="B220" s="540">
        <v>40392</v>
      </c>
      <c r="C220" s="541">
        <v>40392.302083333336</v>
      </c>
      <c r="D220" s="542">
        <v>25460978</v>
      </c>
      <c r="E220" s="543" t="s">
        <v>1002</v>
      </c>
      <c r="F220" s="544" t="b">
        <v>1</v>
      </c>
      <c r="H220" s="543" t="s">
        <v>418</v>
      </c>
      <c r="I220" s="540">
        <v>25544</v>
      </c>
      <c r="J220" s="545">
        <v>40.679452054794524</v>
      </c>
      <c r="K220" s="546">
        <v>488.09993425378036</v>
      </c>
      <c r="L220" s="543" t="s">
        <v>493</v>
      </c>
      <c r="M220" s="547" t="s">
        <v>1003</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v>0</v>
      </c>
      <c r="AK220" s="552">
        <f t="shared" si="6"/>
        <v>0</v>
      </c>
      <c r="AL220" s="553"/>
      <c r="AM220" s="554">
        <v>40385</v>
      </c>
      <c r="AN220" s="549" t="s">
        <v>2031</v>
      </c>
      <c r="AO220" s="555">
        <v>40410</v>
      </c>
      <c r="AP220" s="539" t="s">
        <v>152</v>
      </c>
      <c r="AQ220" s="554">
        <v>40378</v>
      </c>
      <c r="AR220" s="549">
        <v>1</v>
      </c>
      <c r="AS220" s="549" t="s">
        <v>1004</v>
      </c>
      <c r="AT220" s="552">
        <v>0</v>
      </c>
      <c r="AU220" s="549">
        <v>0</v>
      </c>
      <c r="AV220" s="549">
        <v>0</v>
      </c>
      <c r="AW220" s="549">
        <v>1</v>
      </c>
      <c r="AX220" s="556" t="s">
        <v>1005</v>
      </c>
      <c r="AY220" s="557"/>
      <c r="AZ220" s="557" t="s">
        <v>1537</v>
      </c>
      <c r="BA220" s="544">
        <v>0</v>
      </c>
      <c r="BB220" s="558">
        <v>1</v>
      </c>
      <c r="BC220" s="558"/>
      <c r="BD220" s="558">
        <v>0</v>
      </c>
      <c r="BE220" s="558">
        <v>0</v>
      </c>
      <c r="BF220" s="559">
        <v>1</v>
      </c>
      <c r="BG220" s="771">
        <v>0</v>
      </c>
      <c r="BH220" s="771"/>
      <c r="BI220" s="560">
        <v>1</v>
      </c>
      <c r="BJ220" s="561"/>
      <c r="BK220" s="561">
        <v>1</v>
      </c>
      <c r="BL220" s="561" t="s">
        <v>2032</v>
      </c>
      <c r="BM220" s="561">
        <v>1</v>
      </c>
      <c r="BN220" s="561" t="s">
        <v>2033</v>
      </c>
      <c r="BO220" s="561">
        <v>0</v>
      </c>
      <c r="BP220" s="561">
        <v>1</v>
      </c>
      <c r="BQ220" s="561">
        <v>0</v>
      </c>
      <c r="BR220" s="561">
        <v>0</v>
      </c>
      <c r="BS220" s="562">
        <v>0</v>
      </c>
      <c r="BT220" s="560">
        <v>0</v>
      </c>
      <c r="BU220" s="561"/>
      <c r="BV220" s="561">
        <v>0</v>
      </c>
      <c r="BW220" s="561">
        <v>0</v>
      </c>
      <c r="BX220" s="557">
        <v>0</v>
      </c>
      <c r="BY220" s="557"/>
      <c r="BZ220" s="557"/>
      <c r="CA220" s="557"/>
      <c r="CB220" s="563">
        <v>0</v>
      </c>
      <c r="CC220" s="563">
        <v>0</v>
      </c>
      <c r="CD220" s="563">
        <v>0</v>
      </c>
      <c r="CE220" s="563"/>
      <c r="CF220" s="563"/>
      <c r="CG220" s="561"/>
      <c r="CH220" s="557">
        <v>1</v>
      </c>
      <c r="CI220" s="557" t="s">
        <v>2034</v>
      </c>
      <c r="CJ220" s="558">
        <v>0</v>
      </c>
      <c r="CK220" s="558">
        <v>0</v>
      </c>
      <c r="CL220" s="557">
        <v>0</v>
      </c>
      <c r="CM220" s="544">
        <v>89</v>
      </c>
      <c r="CN220" s="544">
        <v>75</v>
      </c>
      <c r="CP220" s="564">
        <v>31</v>
      </c>
      <c r="CQ220" s="564">
        <v>32.1</v>
      </c>
      <c r="CR220" s="540">
        <v>40387.873611111114</v>
      </c>
      <c r="CS220" s="540">
        <v>40429</v>
      </c>
      <c r="CT220" s="565">
        <v>37</v>
      </c>
      <c r="CU220" s="566">
        <v>41634</v>
      </c>
      <c r="CV220" s="567">
        <v>0</v>
      </c>
      <c r="CW220" s="540"/>
      <c r="CX220" s="567">
        <v>0</v>
      </c>
      <c r="CY220" s="567">
        <v>0</v>
      </c>
      <c r="CZ220" s="567">
        <v>0</v>
      </c>
      <c r="DA220" s="540"/>
      <c r="DB220" s="567">
        <v>0</v>
      </c>
      <c r="DC220" s="540"/>
      <c r="DD220" s="567">
        <v>0</v>
      </c>
      <c r="DE220" s="540"/>
      <c r="DF220" s="567">
        <v>0</v>
      </c>
      <c r="DG220" s="540"/>
      <c r="DH220" s="540"/>
      <c r="DI220" s="557"/>
      <c r="DJ220" s="557">
        <v>0</v>
      </c>
      <c r="DK220" s="545"/>
      <c r="DL220" s="557"/>
      <c r="DM220" s="557"/>
      <c r="DN220" s="557"/>
      <c r="DO220" s="543" t="s">
        <v>821</v>
      </c>
      <c r="DP220" s="557"/>
      <c r="DQ220" s="557"/>
      <c r="DR220" s="557"/>
      <c r="DS220" s="557"/>
      <c r="DT220" s="557"/>
      <c r="DU220" s="557"/>
      <c r="DV220" s="557"/>
      <c r="DW220" s="557"/>
      <c r="DX220" s="557"/>
      <c r="DY220" s="557"/>
      <c r="DZ220" s="557"/>
      <c r="EA220" s="557"/>
      <c r="EB220" s="557"/>
      <c r="EC220" s="557"/>
      <c r="ED220" s="557"/>
      <c r="EE220" s="557"/>
      <c r="EF220" s="557"/>
      <c r="EG220" s="557"/>
      <c r="EH220" s="557"/>
      <c r="EI220" s="557"/>
    </row>
    <row r="221" spans="1:139" s="544" customFormat="1" ht="39.75" customHeight="1">
      <c r="A221" s="539">
        <v>433</v>
      </c>
      <c r="B221" s="540">
        <v>40361</v>
      </c>
      <c r="C221" s="541">
        <v>40361.340277777781</v>
      </c>
      <c r="D221" s="542">
        <v>25160278</v>
      </c>
      <c r="E221" s="543" t="s">
        <v>1006</v>
      </c>
      <c r="F221" s="544" t="b">
        <v>1</v>
      </c>
      <c r="H221" s="543" t="s">
        <v>418</v>
      </c>
      <c r="I221" s="540">
        <v>28474</v>
      </c>
      <c r="J221" s="545">
        <v>32.56712328767123</v>
      </c>
      <c r="K221" s="546">
        <v>390.76265614727151</v>
      </c>
      <c r="L221" s="543" t="s">
        <v>419</v>
      </c>
      <c r="M221" s="547" t="s">
        <v>1007</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v>0</v>
      </c>
      <c r="AK221" s="552">
        <f t="shared" si="6"/>
        <v>0</v>
      </c>
      <c r="AL221" s="553"/>
      <c r="AM221" s="554">
        <v>40354</v>
      </c>
      <c r="AN221" s="549" t="s">
        <v>1657</v>
      </c>
      <c r="AO221" s="555">
        <v>40383</v>
      </c>
      <c r="AP221" s="539" t="s">
        <v>223</v>
      </c>
      <c r="AQ221" s="554"/>
      <c r="AR221" s="549">
        <v>1</v>
      </c>
      <c r="AS221" s="549" t="s">
        <v>2035</v>
      </c>
      <c r="AT221" s="552">
        <v>0</v>
      </c>
      <c r="AU221" s="549">
        <v>1</v>
      </c>
      <c r="AV221" s="549">
        <v>0</v>
      </c>
      <c r="AW221" s="549">
        <v>0</v>
      </c>
      <c r="AX221" s="556" t="s">
        <v>1008</v>
      </c>
      <c r="AY221" s="557"/>
      <c r="AZ221" s="557" t="s">
        <v>2030</v>
      </c>
      <c r="BA221" s="544">
        <v>0</v>
      </c>
      <c r="BB221" s="558">
        <v>1</v>
      </c>
      <c r="BC221" s="558"/>
      <c r="BD221" s="558">
        <v>1</v>
      </c>
      <c r="BE221" s="558">
        <v>0</v>
      </c>
      <c r="BF221" s="559">
        <v>0</v>
      </c>
      <c r="BG221" s="771">
        <v>0</v>
      </c>
      <c r="BH221" s="771"/>
      <c r="BI221" s="560">
        <v>1</v>
      </c>
      <c r="BJ221" s="561"/>
      <c r="BK221" s="561">
        <v>0</v>
      </c>
      <c r="BL221" s="561"/>
      <c r="BM221" s="561">
        <v>1</v>
      </c>
      <c r="BN221" s="561" t="s">
        <v>2036</v>
      </c>
      <c r="BO221" s="561">
        <v>0</v>
      </c>
      <c r="BP221" s="561">
        <v>0</v>
      </c>
      <c r="BQ221" s="561">
        <v>0</v>
      </c>
      <c r="BR221" s="561">
        <v>0</v>
      </c>
      <c r="BS221" s="562">
        <v>1</v>
      </c>
      <c r="BT221" s="560">
        <v>0</v>
      </c>
      <c r="BU221" s="561"/>
      <c r="BV221" s="561">
        <v>0</v>
      </c>
      <c r="BW221" s="561">
        <v>0</v>
      </c>
      <c r="BX221" s="557">
        <v>0</v>
      </c>
      <c r="BY221" s="557"/>
      <c r="BZ221" s="557"/>
      <c r="CA221" s="557"/>
      <c r="CB221" s="563">
        <v>0</v>
      </c>
      <c r="CC221" s="563">
        <v>0</v>
      </c>
      <c r="CD221" s="563">
        <v>0</v>
      </c>
      <c r="CE221" s="563"/>
      <c r="CF221" s="563"/>
      <c r="CG221" s="561"/>
      <c r="CH221" s="557">
        <v>0</v>
      </c>
      <c r="CI221" s="557"/>
      <c r="CJ221" s="558">
        <v>0</v>
      </c>
      <c r="CK221" s="558">
        <v>0</v>
      </c>
      <c r="CL221" s="557">
        <v>0</v>
      </c>
      <c r="CM221" s="544">
        <v>74</v>
      </c>
      <c r="CN221" s="544">
        <v>52</v>
      </c>
      <c r="CP221" s="564">
        <v>31.3</v>
      </c>
      <c r="CQ221" s="564">
        <v>32.4</v>
      </c>
      <c r="CR221" s="540">
        <v>40354.84652777778</v>
      </c>
      <c r="CS221" s="540">
        <v>40384</v>
      </c>
      <c r="CT221" s="565">
        <v>23</v>
      </c>
      <c r="CU221" s="566">
        <v>43711</v>
      </c>
      <c r="CV221" s="567">
        <v>0</v>
      </c>
      <c r="CW221" s="540"/>
      <c r="CX221" s="567">
        <v>0</v>
      </c>
      <c r="CY221" s="567">
        <v>0</v>
      </c>
      <c r="CZ221" s="567">
        <v>0</v>
      </c>
      <c r="DA221" s="540"/>
      <c r="DB221" s="567">
        <v>0</v>
      </c>
      <c r="DC221" s="540"/>
      <c r="DD221" s="567">
        <v>0</v>
      </c>
      <c r="DE221" s="540"/>
      <c r="DF221" s="567">
        <v>0</v>
      </c>
      <c r="DG221" s="540"/>
      <c r="DH221" s="540"/>
      <c r="DI221" s="557"/>
      <c r="DJ221" s="557">
        <v>0</v>
      </c>
      <c r="DK221" s="545"/>
      <c r="DL221" s="557"/>
      <c r="DM221" s="557"/>
      <c r="DN221" s="557"/>
      <c r="DO221" s="543" t="s">
        <v>821</v>
      </c>
      <c r="DP221" s="557"/>
      <c r="DQ221" s="557"/>
      <c r="DR221" s="557"/>
      <c r="DS221" s="557"/>
      <c r="DT221" s="557"/>
      <c r="DU221" s="557"/>
      <c r="DV221" s="557"/>
      <c r="DW221" s="557"/>
      <c r="DX221" s="557"/>
      <c r="DY221" s="557"/>
      <c r="DZ221" s="557"/>
      <c r="EA221" s="557"/>
      <c r="EB221" s="557"/>
      <c r="EC221" s="557"/>
      <c r="ED221" s="557"/>
      <c r="EE221" s="557"/>
      <c r="EF221" s="557"/>
      <c r="EG221" s="557"/>
      <c r="EH221" s="557"/>
      <c r="EI221" s="557"/>
    </row>
    <row r="222" spans="1:139" s="544" customFormat="1" ht="39.75" customHeight="1">
      <c r="A222" s="539">
        <v>435</v>
      </c>
      <c r="B222" s="540">
        <v>40343</v>
      </c>
      <c r="C222" s="541">
        <v>40343.53402777778</v>
      </c>
      <c r="D222" s="542">
        <v>25215440</v>
      </c>
      <c r="E222" s="543" t="s">
        <v>1009</v>
      </c>
      <c r="F222" s="544" t="b">
        <v>1</v>
      </c>
      <c r="H222" s="543" t="s">
        <v>418</v>
      </c>
      <c r="I222" s="540">
        <v>20467</v>
      </c>
      <c r="J222" s="545">
        <v>54.454794520547942</v>
      </c>
      <c r="K222" s="546">
        <v>653.38593030900722</v>
      </c>
      <c r="L222" s="543" t="s">
        <v>493</v>
      </c>
      <c r="M222" s="547" t="s">
        <v>1010</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v>0</v>
      </c>
      <c r="AK222" s="552">
        <f t="shared" si="6"/>
        <v>0</v>
      </c>
      <c r="AL222" s="553"/>
      <c r="AM222" s="554">
        <v>40316</v>
      </c>
      <c r="AN222" s="549" t="s">
        <v>2037</v>
      </c>
      <c r="AO222" s="555">
        <v>40357</v>
      </c>
      <c r="AP222" s="539" t="s">
        <v>160</v>
      </c>
      <c r="AQ222" s="554">
        <v>40316</v>
      </c>
      <c r="AR222" s="549">
        <v>0</v>
      </c>
      <c r="AS222" s="549"/>
      <c r="AT222" s="552">
        <v>0</v>
      </c>
      <c r="AU222" s="549">
        <v>1</v>
      </c>
      <c r="AV222" s="549">
        <v>1</v>
      </c>
      <c r="AW222" s="549">
        <v>1</v>
      </c>
      <c r="AX222" s="556" t="s">
        <v>1011</v>
      </c>
      <c r="AY222" s="557"/>
      <c r="AZ222" s="557" t="s">
        <v>2038</v>
      </c>
      <c r="BA222" s="544">
        <v>0</v>
      </c>
      <c r="BB222" s="558">
        <v>1</v>
      </c>
      <c r="BC222" s="558"/>
      <c r="BD222" s="558">
        <v>0</v>
      </c>
      <c r="BE222" s="558">
        <v>0</v>
      </c>
      <c r="BF222" s="559">
        <v>0</v>
      </c>
      <c r="BG222" s="771">
        <v>0</v>
      </c>
      <c r="BH222" s="771"/>
      <c r="BI222" s="560">
        <v>0</v>
      </c>
      <c r="BJ222" s="561"/>
      <c r="BK222" s="561">
        <v>0</v>
      </c>
      <c r="BL222" s="561"/>
      <c r="BM222" s="561">
        <v>0</v>
      </c>
      <c r="BN222" s="561"/>
      <c r="BO222" s="561">
        <v>0</v>
      </c>
      <c r="BP222" s="561">
        <v>0</v>
      </c>
      <c r="BQ222" s="561">
        <v>0</v>
      </c>
      <c r="BR222" s="561">
        <v>0</v>
      </c>
      <c r="BS222" s="569">
        <v>0</v>
      </c>
      <c r="BT222" s="560">
        <v>1</v>
      </c>
      <c r="BU222" s="561" t="s">
        <v>2039</v>
      </c>
      <c r="BV222" s="561">
        <v>0</v>
      </c>
      <c r="BW222" s="561">
        <v>1</v>
      </c>
      <c r="BX222" s="557">
        <v>1</v>
      </c>
      <c r="BY222" s="557"/>
      <c r="BZ222" s="557"/>
      <c r="CA222" s="557" t="s">
        <v>2040</v>
      </c>
      <c r="CB222" s="563">
        <v>0</v>
      </c>
      <c r="CC222" s="563">
        <v>0</v>
      </c>
      <c r="CD222" s="563">
        <v>0</v>
      </c>
      <c r="CE222" s="563"/>
      <c r="CF222" s="563"/>
      <c r="CG222" s="561"/>
      <c r="CH222" s="557">
        <v>0</v>
      </c>
      <c r="CI222" s="557"/>
      <c r="CJ222" s="558">
        <v>0</v>
      </c>
      <c r="CK222" s="558">
        <v>0</v>
      </c>
      <c r="CL222" s="557">
        <v>0</v>
      </c>
      <c r="CM222" s="544">
        <v>76</v>
      </c>
      <c r="CN222" s="544">
        <v>64</v>
      </c>
      <c r="CP222" s="564">
        <v>31.6</v>
      </c>
      <c r="CQ222" s="564">
        <v>32.5</v>
      </c>
      <c r="CR222" s="540">
        <v>40340.669444444444</v>
      </c>
      <c r="CS222" s="540">
        <v>40366</v>
      </c>
      <c r="CT222" s="565">
        <v>23</v>
      </c>
      <c r="CU222" s="566">
        <v>40631</v>
      </c>
      <c r="CV222" s="567">
        <v>0</v>
      </c>
      <c r="CW222" s="540"/>
      <c r="CX222" s="567">
        <v>0</v>
      </c>
      <c r="CY222" s="567">
        <v>0</v>
      </c>
      <c r="CZ222" s="567">
        <v>0</v>
      </c>
      <c r="DA222" s="540"/>
      <c r="DB222" s="567">
        <v>0</v>
      </c>
      <c r="DC222" s="540"/>
      <c r="DD222" s="567">
        <v>0</v>
      </c>
      <c r="DE222" s="540"/>
      <c r="DF222" s="567">
        <v>0</v>
      </c>
      <c r="DG222" s="540"/>
      <c r="DH222" s="540"/>
      <c r="DI222" s="557"/>
      <c r="DJ222" s="557">
        <v>1</v>
      </c>
      <c r="DK222" s="570">
        <v>1.5779092702169624</v>
      </c>
      <c r="DL222" s="557"/>
      <c r="DM222" s="543" t="s">
        <v>951</v>
      </c>
      <c r="DN222" s="540">
        <v>40391</v>
      </c>
      <c r="DO222" s="543" t="s">
        <v>1012</v>
      </c>
      <c r="DP222" s="557"/>
      <c r="DQ222" s="557"/>
      <c r="DR222" s="557"/>
      <c r="DS222" s="557"/>
      <c r="DT222" s="557"/>
      <c r="DU222" s="557"/>
      <c r="DV222" s="571" t="b">
        <v>0</v>
      </c>
      <c r="DW222" s="557"/>
      <c r="DX222" s="557"/>
      <c r="DY222" s="557"/>
      <c r="DZ222" s="557"/>
      <c r="EA222" s="557"/>
      <c r="EB222" s="557"/>
      <c r="EC222" s="557"/>
      <c r="ED222" s="557"/>
      <c r="EE222" s="557"/>
      <c r="EF222" s="557"/>
      <c r="EG222" s="557"/>
      <c r="EH222" s="557"/>
      <c r="EI222" s="557"/>
    </row>
    <row r="223" spans="1:139" s="544" customFormat="1" ht="39.75" customHeight="1">
      <c r="A223" s="539">
        <v>436</v>
      </c>
      <c r="B223" s="540">
        <v>40279</v>
      </c>
      <c r="C223" s="541">
        <v>40279.427083333336</v>
      </c>
      <c r="D223" s="542">
        <v>24909658</v>
      </c>
      <c r="E223" s="543" t="s">
        <v>1013</v>
      </c>
      <c r="F223" s="544" t="b">
        <v>1</v>
      </c>
      <c r="H223" s="543" t="s">
        <v>418</v>
      </c>
      <c r="I223" s="540">
        <v>15707</v>
      </c>
      <c r="J223" s="545">
        <v>67.320547945205476</v>
      </c>
      <c r="K223" s="546">
        <v>807.75805391189999</v>
      </c>
      <c r="L223" s="543" t="s">
        <v>493</v>
      </c>
      <c r="M223" s="547" t="s">
        <v>1014</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v>1</v>
      </c>
      <c r="AK223" s="552">
        <f t="shared" si="6"/>
        <v>0</v>
      </c>
      <c r="AL223" s="553" t="s">
        <v>2041</v>
      </c>
      <c r="AM223" s="554">
        <v>40277</v>
      </c>
      <c r="AN223" s="549" t="s">
        <v>2042</v>
      </c>
      <c r="AO223" s="555">
        <v>40324</v>
      </c>
      <c r="AP223" s="539" t="s">
        <v>2043</v>
      </c>
      <c r="AQ223" s="554">
        <v>40279</v>
      </c>
      <c r="AR223" s="549">
        <v>1</v>
      </c>
      <c r="AS223" s="549" t="s">
        <v>1015</v>
      </c>
      <c r="AT223" s="552">
        <v>0</v>
      </c>
      <c r="AU223" s="549">
        <v>1</v>
      </c>
      <c r="AV223" s="549">
        <v>0</v>
      </c>
      <c r="AW223" s="549">
        <v>1</v>
      </c>
      <c r="AX223" s="556" t="s">
        <v>1017</v>
      </c>
      <c r="AY223" s="557"/>
      <c r="AZ223" s="557" t="s">
        <v>2038</v>
      </c>
      <c r="BA223" s="544">
        <v>0</v>
      </c>
      <c r="BB223" s="558">
        <v>1</v>
      </c>
      <c r="BC223" s="558"/>
      <c r="BD223" s="558">
        <v>0</v>
      </c>
      <c r="BE223" s="558">
        <v>0</v>
      </c>
      <c r="BF223" s="559">
        <v>0</v>
      </c>
      <c r="BG223" s="771">
        <v>0</v>
      </c>
      <c r="BH223" s="771"/>
      <c r="BI223" s="560">
        <v>1</v>
      </c>
      <c r="BJ223" s="561"/>
      <c r="BK223" s="561">
        <v>1</v>
      </c>
      <c r="BL223" s="561" t="s">
        <v>2044</v>
      </c>
      <c r="BM223" s="561">
        <v>1</v>
      </c>
      <c r="BN223" s="561" t="s">
        <v>2045</v>
      </c>
      <c r="BO223" s="561">
        <v>0</v>
      </c>
      <c r="BP223" s="561">
        <v>0</v>
      </c>
      <c r="BQ223" s="561">
        <v>1</v>
      </c>
      <c r="BR223" s="561">
        <v>0</v>
      </c>
      <c r="BS223" s="562">
        <v>0</v>
      </c>
      <c r="BT223" s="560">
        <v>0</v>
      </c>
      <c r="BU223" s="561"/>
      <c r="BV223" s="561">
        <v>0</v>
      </c>
      <c r="BW223" s="561">
        <v>0</v>
      </c>
      <c r="BX223" s="557">
        <v>0</v>
      </c>
      <c r="BY223" s="557"/>
      <c r="BZ223" s="557"/>
      <c r="CA223" s="557"/>
      <c r="CB223" s="563">
        <v>0</v>
      </c>
      <c r="CC223" s="563">
        <v>0</v>
      </c>
      <c r="CD223" s="563">
        <v>0</v>
      </c>
      <c r="CE223" s="563"/>
      <c r="CF223" s="563"/>
      <c r="CG223" s="561"/>
      <c r="CH223" s="557">
        <v>0</v>
      </c>
      <c r="CI223" s="557"/>
      <c r="CJ223" s="558">
        <v>0</v>
      </c>
      <c r="CK223" s="558">
        <v>0</v>
      </c>
      <c r="CL223" s="557">
        <v>0</v>
      </c>
      <c r="CM223" s="544">
        <v>75</v>
      </c>
      <c r="CN223" s="544">
        <v>62</v>
      </c>
      <c r="CP223" s="564">
        <v>29.3</v>
      </c>
      <c r="CQ223" s="564">
        <v>30.3</v>
      </c>
      <c r="CR223" s="540">
        <v>40277.963888888888</v>
      </c>
      <c r="CS223" s="540">
        <v>40324</v>
      </c>
      <c r="CT223" s="565">
        <v>45</v>
      </c>
      <c r="CU223" s="566">
        <v>41892</v>
      </c>
      <c r="CV223" s="567">
        <v>1</v>
      </c>
      <c r="CW223" s="540">
        <v>41892</v>
      </c>
      <c r="CX223" s="567">
        <v>0</v>
      </c>
      <c r="CY223" s="567">
        <v>0</v>
      </c>
      <c r="CZ223" s="567">
        <v>1</v>
      </c>
      <c r="DA223" s="540" t="s">
        <v>1018</v>
      </c>
      <c r="DB223" s="567">
        <v>0</v>
      </c>
      <c r="DC223" s="540"/>
      <c r="DD223" s="567">
        <v>0</v>
      </c>
      <c r="DE223" s="540"/>
      <c r="DF223" s="567">
        <v>0</v>
      </c>
      <c r="DG223" s="540"/>
      <c r="DH223" s="540"/>
      <c r="DI223" s="557"/>
      <c r="DJ223" s="557">
        <v>0</v>
      </c>
      <c r="DK223" s="545"/>
      <c r="DL223" s="557"/>
      <c r="DM223" s="557"/>
      <c r="DN223" s="557"/>
      <c r="DO223" s="543" t="s">
        <v>821</v>
      </c>
      <c r="DP223" s="557"/>
      <c r="DQ223" s="557"/>
      <c r="DR223" s="557"/>
      <c r="DS223" s="557"/>
      <c r="DT223" s="557"/>
      <c r="DU223" s="557"/>
      <c r="DV223" s="557"/>
      <c r="DW223" s="557"/>
      <c r="DX223" s="557"/>
      <c r="DY223" s="557"/>
      <c r="DZ223" s="557"/>
      <c r="EA223" s="557"/>
      <c r="EB223" s="557"/>
      <c r="EC223" s="557"/>
      <c r="ED223" s="557"/>
      <c r="EE223" s="557"/>
      <c r="EF223" s="557"/>
      <c r="EG223" s="557"/>
      <c r="EH223" s="557"/>
      <c r="EI223" s="557"/>
    </row>
    <row r="224" spans="1:139" s="544" customFormat="1" ht="39.75" customHeight="1">
      <c r="A224" s="539">
        <v>438</v>
      </c>
      <c r="B224" s="540">
        <v>40257</v>
      </c>
      <c r="C224" s="541">
        <v>40257.440972222219</v>
      </c>
      <c r="D224" s="542">
        <v>24796399</v>
      </c>
      <c r="E224" s="543" t="s">
        <v>1019</v>
      </c>
      <c r="F224" s="544" t="b">
        <v>1</v>
      </c>
      <c r="H224" s="543" t="s">
        <v>418</v>
      </c>
      <c r="I224" s="540">
        <v>14320</v>
      </c>
      <c r="J224" s="545">
        <v>71.060273972602744</v>
      </c>
      <c r="K224" s="546">
        <v>852.62984878369491</v>
      </c>
      <c r="L224" s="543" t="s">
        <v>442</v>
      </c>
      <c r="M224" s="547" t="s">
        <v>1020</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v>0</v>
      </c>
      <c r="AK224" s="552">
        <f t="shared" si="6"/>
        <v>0</v>
      </c>
      <c r="AL224" s="553"/>
      <c r="AM224" s="554">
        <v>40255</v>
      </c>
      <c r="AN224" s="549" t="s">
        <v>1865</v>
      </c>
      <c r="AO224" s="555">
        <v>40299</v>
      </c>
      <c r="AP224" s="539" t="s">
        <v>187</v>
      </c>
      <c r="AQ224" s="554">
        <v>40248</v>
      </c>
      <c r="AR224" s="549">
        <v>1</v>
      </c>
      <c r="AS224" s="549" t="s">
        <v>2046</v>
      </c>
      <c r="AT224" s="552">
        <v>0</v>
      </c>
      <c r="AU224" s="549">
        <v>0</v>
      </c>
      <c r="AV224" s="549">
        <v>1</v>
      </c>
      <c r="AW224" s="549">
        <v>1</v>
      </c>
      <c r="AX224" s="556" t="s">
        <v>1021</v>
      </c>
      <c r="AY224" s="557"/>
      <c r="AZ224" s="557" t="s">
        <v>2030</v>
      </c>
      <c r="BA224" s="544">
        <v>0</v>
      </c>
      <c r="BB224" s="558">
        <v>1</v>
      </c>
      <c r="BC224" s="558"/>
      <c r="BD224" s="558">
        <v>0</v>
      </c>
      <c r="BE224" s="558">
        <v>0</v>
      </c>
      <c r="BF224" s="559">
        <v>0</v>
      </c>
      <c r="BG224" s="771">
        <v>0</v>
      </c>
      <c r="BH224" s="771"/>
      <c r="BI224" s="560">
        <v>0</v>
      </c>
      <c r="BJ224" s="561"/>
      <c r="BK224" s="561">
        <v>0</v>
      </c>
      <c r="BL224" s="561"/>
      <c r="BM224" s="561">
        <v>0</v>
      </c>
      <c r="BN224" s="561"/>
      <c r="BO224" s="561">
        <v>0</v>
      </c>
      <c r="BP224" s="561">
        <v>0</v>
      </c>
      <c r="BQ224" s="561">
        <v>0</v>
      </c>
      <c r="BR224" s="561">
        <v>0</v>
      </c>
      <c r="BS224" s="569">
        <v>0</v>
      </c>
      <c r="BT224" s="560">
        <v>1</v>
      </c>
      <c r="BU224" s="561" t="s">
        <v>2047</v>
      </c>
      <c r="BV224" s="561">
        <v>0</v>
      </c>
      <c r="BW224" s="561">
        <v>1</v>
      </c>
      <c r="BX224" s="557">
        <v>0</v>
      </c>
      <c r="BY224" s="557"/>
      <c r="BZ224" s="557" t="s">
        <v>2030</v>
      </c>
      <c r="CA224" s="557" t="s">
        <v>2048</v>
      </c>
      <c r="CB224" s="563">
        <v>0</v>
      </c>
      <c r="CC224" s="563">
        <v>0</v>
      </c>
      <c r="CD224" s="563">
        <v>0</v>
      </c>
      <c r="CE224" s="563"/>
      <c r="CF224" s="563"/>
      <c r="CG224" s="561"/>
      <c r="CH224" s="557">
        <v>0</v>
      </c>
      <c r="CI224" s="557"/>
      <c r="CJ224" s="558">
        <v>0</v>
      </c>
      <c r="CK224" s="558">
        <v>0</v>
      </c>
      <c r="CL224" s="557">
        <v>0</v>
      </c>
      <c r="CM224" s="544">
        <v>135</v>
      </c>
      <c r="CN224" s="544">
        <v>115</v>
      </c>
      <c r="CP224" s="564">
        <v>30.2</v>
      </c>
      <c r="CQ224" s="564">
        <v>31.5</v>
      </c>
      <c r="CR224" s="540">
        <v>40255.795138888891</v>
      </c>
      <c r="CS224" s="540">
        <v>40305</v>
      </c>
      <c r="CT224" s="565">
        <v>48</v>
      </c>
      <c r="CU224" s="566">
        <v>43052</v>
      </c>
      <c r="CV224" s="567">
        <v>0</v>
      </c>
      <c r="CW224" s="540"/>
      <c r="CX224" s="567">
        <v>0</v>
      </c>
      <c r="CY224" s="567">
        <v>0</v>
      </c>
      <c r="CZ224" s="567">
        <v>0</v>
      </c>
      <c r="DA224" s="540"/>
      <c r="DB224" s="567">
        <v>0</v>
      </c>
      <c r="DC224" s="540"/>
      <c r="DD224" s="567">
        <v>0</v>
      </c>
      <c r="DE224" s="540"/>
      <c r="DF224" s="567">
        <v>0</v>
      </c>
      <c r="DG224" s="540"/>
      <c r="DH224" s="540"/>
      <c r="DI224" s="557"/>
      <c r="DJ224" s="557">
        <v>0</v>
      </c>
      <c r="DK224" s="572"/>
      <c r="DL224" s="557"/>
      <c r="DM224" s="557"/>
      <c r="DN224" s="566"/>
      <c r="DO224" s="543"/>
      <c r="DP224" s="557"/>
      <c r="DQ224" s="557"/>
      <c r="DR224" s="557"/>
      <c r="DS224" s="557"/>
      <c r="DT224" s="557"/>
      <c r="DU224" s="557"/>
      <c r="DV224" s="557"/>
      <c r="DW224" s="557"/>
      <c r="DX224" s="557"/>
      <c r="DY224" s="557"/>
      <c r="DZ224" s="557"/>
      <c r="EA224" s="557"/>
      <c r="EB224" s="557"/>
      <c r="EC224" s="557"/>
      <c r="ED224" s="557"/>
      <c r="EE224" s="557"/>
      <c r="EF224" s="557"/>
      <c r="EG224" s="557"/>
      <c r="EH224" s="557"/>
      <c r="EI224" s="557"/>
    </row>
    <row r="225" spans="1:139" s="544" customFormat="1" ht="39.75" customHeight="1">
      <c r="A225" s="539">
        <v>439</v>
      </c>
      <c r="B225" s="540">
        <v>40256</v>
      </c>
      <c r="C225" s="541">
        <v>40256.611111111109</v>
      </c>
      <c r="D225" s="542">
        <v>24183551</v>
      </c>
      <c r="E225" s="543" t="s">
        <v>1022</v>
      </c>
      <c r="F225" s="544" t="b">
        <v>1</v>
      </c>
      <c r="H225" s="543" t="s">
        <v>418</v>
      </c>
      <c r="I225" s="540">
        <v>30892</v>
      </c>
      <c r="J225" s="545">
        <v>25.654794520547945</v>
      </c>
      <c r="K225" s="546">
        <v>307.82380013149242</v>
      </c>
      <c r="L225" s="543" t="s">
        <v>442</v>
      </c>
      <c r="M225" s="547" t="s">
        <v>1023</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v>0</v>
      </c>
      <c r="AK225" s="552">
        <f t="shared" si="6"/>
        <v>0</v>
      </c>
      <c r="AL225" s="553"/>
      <c r="AM225" s="554">
        <v>40253</v>
      </c>
      <c r="AN225" s="549" t="s">
        <v>2049</v>
      </c>
      <c r="AO225" s="555">
        <v>40298</v>
      </c>
      <c r="AP225" s="539" t="s">
        <v>1024</v>
      </c>
      <c r="AQ225" s="554">
        <v>40253</v>
      </c>
      <c r="AR225" s="549">
        <v>1</v>
      </c>
      <c r="AS225" s="549" t="s">
        <v>1025</v>
      </c>
      <c r="AT225" s="552">
        <v>0</v>
      </c>
      <c r="AU225" s="549">
        <v>0</v>
      </c>
      <c r="AV225" s="549">
        <v>0</v>
      </c>
      <c r="AW225" s="549">
        <v>1</v>
      </c>
      <c r="AX225" s="556" t="s">
        <v>1026</v>
      </c>
      <c r="AY225" s="557"/>
      <c r="AZ225" s="557" t="s">
        <v>2030</v>
      </c>
      <c r="BA225" s="544">
        <v>0</v>
      </c>
      <c r="BB225" s="558">
        <v>1</v>
      </c>
      <c r="BC225" s="558"/>
      <c r="BD225" s="558">
        <v>0</v>
      </c>
      <c r="BE225" s="558">
        <v>0</v>
      </c>
      <c r="BF225" s="559">
        <v>0</v>
      </c>
      <c r="BG225" s="771">
        <v>1</v>
      </c>
      <c r="BH225" s="771" t="s">
        <v>2004</v>
      </c>
      <c r="BI225" s="573">
        <v>1</v>
      </c>
      <c r="BJ225" s="574"/>
      <c r="BK225" s="574">
        <v>1</v>
      </c>
      <c r="BL225" s="574" t="s">
        <v>2051</v>
      </c>
      <c r="BM225" s="574">
        <v>1</v>
      </c>
      <c r="BN225" s="574" t="s">
        <v>2050</v>
      </c>
      <c r="BO225" s="574">
        <v>0</v>
      </c>
      <c r="BP225" s="574">
        <v>0</v>
      </c>
      <c r="BQ225" s="574">
        <v>0</v>
      </c>
      <c r="BR225" s="574">
        <v>0</v>
      </c>
      <c r="BS225" s="569">
        <v>1</v>
      </c>
      <c r="BT225" s="560">
        <v>0</v>
      </c>
      <c r="BU225" s="561"/>
      <c r="BV225" s="561">
        <v>0</v>
      </c>
      <c r="BW225" s="561">
        <v>0</v>
      </c>
      <c r="BX225" s="557">
        <v>0</v>
      </c>
      <c r="BY225" s="557"/>
      <c r="BZ225" s="557"/>
      <c r="CA225" s="557"/>
      <c r="CB225" s="563">
        <v>0</v>
      </c>
      <c r="CC225" s="563">
        <v>0</v>
      </c>
      <c r="CD225" s="563">
        <v>0</v>
      </c>
      <c r="CE225" s="563"/>
      <c r="CF225" s="563"/>
      <c r="CG225" s="561"/>
      <c r="CH225" s="557">
        <v>0</v>
      </c>
      <c r="CI225" s="557"/>
      <c r="CJ225" s="558">
        <v>0</v>
      </c>
      <c r="CK225" s="558">
        <v>0</v>
      </c>
      <c r="CL225" s="557">
        <v>0</v>
      </c>
      <c r="CM225" s="544">
        <v>257</v>
      </c>
      <c r="CN225" s="544">
        <v>223</v>
      </c>
      <c r="CP225" s="564">
        <v>28.3</v>
      </c>
      <c r="CQ225" s="564">
        <v>29.5</v>
      </c>
      <c r="CR225" s="540">
        <v>40252.716666666667</v>
      </c>
      <c r="CS225" s="540">
        <v>40319</v>
      </c>
      <c r="CT225" s="565">
        <v>63</v>
      </c>
      <c r="CU225" s="566">
        <v>43283</v>
      </c>
      <c r="CV225" s="567">
        <v>0</v>
      </c>
      <c r="CW225" s="540"/>
      <c r="CX225" s="567">
        <v>0</v>
      </c>
      <c r="CY225" s="567">
        <v>0</v>
      </c>
      <c r="CZ225" s="567">
        <v>0</v>
      </c>
      <c r="DA225" s="540"/>
      <c r="DB225" s="567">
        <v>0</v>
      </c>
      <c r="DC225" s="540"/>
      <c r="DD225" s="567">
        <v>0</v>
      </c>
      <c r="DE225" s="540"/>
      <c r="DF225" s="567">
        <v>0</v>
      </c>
      <c r="DG225" s="540"/>
      <c r="DH225" s="540"/>
      <c r="DI225" s="557"/>
      <c r="DJ225" s="557">
        <v>0</v>
      </c>
      <c r="DK225" s="545"/>
      <c r="DL225" s="557"/>
      <c r="DM225" s="557"/>
      <c r="DN225" s="557"/>
      <c r="DO225" s="543"/>
      <c r="DP225" s="557"/>
      <c r="DQ225" s="557"/>
      <c r="DR225" s="557"/>
      <c r="DS225" s="557"/>
      <c r="DT225" s="557"/>
      <c r="DU225" s="557"/>
      <c r="DV225" s="557"/>
      <c r="DW225" s="557"/>
      <c r="DX225" s="557"/>
      <c r="DY225" s="557"/>
      <c r="DZ225" s="557"/>
      <c r="EA225" s="557"/>
      <c r="EB225" s="557"/>
      <c r="EC225" s="557"/>
      <c r="ED225" s="557"/>
      <c r="EE225" s="557"/>
      <c r="EF225" s="557"/>
      <c r="EG225" s="557"/>
      <c r="EH225" s="557"/>
      <c r="EI225" s="557"/>
    </row>
    <row r="226" spans="1:139" s="544" customFormat="1" ht="39.75" customHeight="1">
      <c r="A226" s="539">
        <v>440</v>
      </c>
      <c r="B226" s="540">
        <v>40252</v>
      </c>
      <c r="C226" s="541">
        <v>40252.506944444445</v>
      </c>
      <c r="D226" s="542">
        <v>24749201</v>
      </c>
      <c r="E226" s="543" t="s">
        <v>1027</v>
      </c>
      <c r="F226" s="544" t="b">
        <v>1</v>
      </c>
      <c r="H226" s="543" t="s">
        <v>418</v>
      </c>
      <c r="I226" s="540">
        <v>29627</v>
      </c>
      <c r="J226" s="545">
        <v>29.109589041095891</v>
      </c>
      <c r="K226" s="546">
        <v>349.27679158448387</v>
      </c>
      <c r="L226" s="543" t="s">
        <v>493</v>
      </c>
      <c r="M226" s="547" t="s">
        <v>1028</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77">
        <v>0</v>
      </c>
      <c r="AK226" s="552">
        <v>0</v>
      </c>
      <c r="AL226" s="547"/>
      <c r="AM226" s="575">
        <v>40225</v>
      </c>
      <c r="AN226" s="574" t="s">
        <v>2052</v>
      </c>
      <c r="AO226" s="555">
        <v>40266</v>
      </c>
      <c r="AP226" s="571" t="s">
        <v>2053</v>
      </c>
      <c r="AQ226" s="575">
        <v>40225</v>
      </c>
      <c r="AR226" s="574">
        <v>1</v>
      </c>
      <c r="AS226" s="574" t="s">
        <v>2054</v>
      </c>
      <c r="AT226" s="577">
        <v>0</v>
      </c>
      <c r="AU226" s="574">
        <v>1</v>
      </c>
      <c r="AV226" s="574">
        <v>1</v>
      </c>
      <c r="AW226" s="574">
        <v>1</v>
      </c>
      <c r="AX226" s="556" t="s">
        <v>1029</v>
      </c>
      <c r="AY226" s="557"/>
      <c r="AZ226" s="557" t="s">
        <v>2038</v>
      </c>
      <c r="BA226" s="544">
        <v>0</v>
      </c>
      <c r="BB226" s="558">
        <v>1</v>
      </c>
      <c r="BC226" s="558"/>
      <c r="BD226" s="558">
        <v>0</v>
      </c>
      <c r="BE226" s="558">
        <v>0</v>
      </c>
      <c r="BF226" s="559">
        <v>0</v>
      </c>
      <c r="BG226" s="771">
        <v>0</v>
      </c>
      <c r="BH226" s="771"/>
      <c r="BI226" s="560">
        <v>0</v>
      </c>
      <c r="BJ226" s="561"/>
      <c r="BK226" s="561">
        <v>0</v>
      </c>
      <c r="BL226" s="561"/>
      <c r="BM226" s="561">
        <v>0</v>
      </c>
      <c r="BN226" s="561"/>
      <c r="BO226" s="561">
        <v>0</v>
      </c>
      <c r="BP226" s="561">
        <v>0</v>
      </c>
      <c r="BQ226" s="561">
        <v>0</v>
      </c>
      <c r="BR226" s="561">
        <v>0</v>
      </c>
      <c r="BS226" s="569">
        <v>0</v>
      </c>
      <c r="BT226" s="560">
        <v>1</v>
      </c>
      <c r="BU226" s="561" t="s">
        <v>2055</v>
      </c>
      <c r="BV226" s="561">
        <v>0</v>
      </c>
      <c r="BW226" s="561">
        <v>0</v>
      </c>
      <c r="BX226" s="557">
        <v>0</v>
      </c>
      <c r="BY226" s="557"/>
      <c r="BZ226" s="557"/>
      <c r="CA226" s="557"/>
      <c r="CB226" s="557">
        <v>0</v>
      </c>
      <c r="CC226" s="557">
        <v>0</v>
      </c>
      <c r="CD226" s="557">
        <v>0</v>
      </c>
      <c r="CE226" s="557"/>
      <c r="CF226" s="557"/>
      <c r="CG226" s="561"/>
      <c r="CH226" s="557">
        <v>0</v>
      </c>
      <c r="CI226" s="557"/>
      <c r="CJ226" s="558">
        <v>0</v>
      </c>
      <c r="CK226" s="558">
        <v>0</v>
      </c>
      <c r="CL226" s="557">
        <v>0</v>
      </c>
      <c r="CM226" s="544">
        <v>54</v>
      </c>
      <c r="CN226" s="544">
        <v>46</v>
      </c>
      <c r="CP226" s="564">
        <v>30.3</v>
      </c>
      <c r="CQ226" s="564">
        <v>31.9</v>
      </c>
      <c r="CR226" s="540">
        <v>40247.813888888886</v>
      </c>
      <c r="CS226" s="540">
        <v>40264</v>
      </c>
      <c r="CT226" s="565">
        <v>12</v>
      </c>
      <c r="CU226" s="566">
        <v>40512</v>
      </c>
      <c r="CV226" s="567">
        <v>0</v>
      </c>
      <c r="CW226" s="540"/>
      <c r="CX226" s="567">
        <v>0</v>
      </c>
      <c r="CY226" s="567">
        <v>0</v>
      </c>
      <c r="CZ226" s="567">
        <v>0</v>
      </c>
      <c r="DA226" s="540"/>
      <c r="DB226" s="567">
        <v>0</v>
      </c>
      <c r="DC226" s="540"/>
      <c r="DD226" s="567">
        <v>0</v>
      </c>
      <c r="DE226" s="540"/>
      <c r="DF226" s="567">
        <v>0</v>
      </c>
      <c r="DG226" s="540"/>
      <c r="DH226" s="540"/>
      <c r="DI226" s="557"/>
      <c r="DJ226" s="557">
        <v>0</v>
      </c>
      <c r="DK226" s="545"/>
      <c r="DL226" s="557"/>
      <c r="DM226" s="557"/>
      <c r="DN226" s="557"/>
      <c r="DO226" s="543" t="s">
        <v>821</v>
      </c>
      <c r="DP226" s="557"/>
      <c r="DQ226" s="557"/>
      <c r="DR226" s="557"/>
      <c r="DS226" s="557"/>
      <c r="DT226" s="557"/>
      <c r="DU226" s="557"/>
      <c r="DV226" s="571" t="b">
        <v>0</v>
      </c>
      <c r="DW226" s="557"/>
      <c r="DX226" s="557"/>
      <c r="DY226" s="557"/>
      <c r="DZ226" s="557"/>
      <c r="EA226" s="557"/>
      <c r="EB226" s="557"/>
      <c r="EC226" s="557"/>
      <c r="ED226" s="557"/>
      <c r="EE226" s="557"/>
      <c r="EF226" s="557"/>
      <c r="EG226" s="557"/>
      <c r="EH226" s="557"/>
      <c r="EI226" s="557"/>
    </row>
    <row r="227" spans="1:139" s="196" customFormat="1" ht="39.75" customHeight="1">
      <c r="A227" s="90">
        <v>441</v>
      </c>
      <c r="B227" s="320">
        <v>40252</v>
      </c>
      <c r="C227" s="194">
        <v>40252.302083333336</v>
      </c>
      <c r="D227" s="568">
        <v>14376167</v>
      </c>
      <c r="E227" s="531" t="s">
        <v>1030</v>
      </c>
      <c r="F227" s="196" t="s">
        <v>1590</v>
      </c>
      <c r="G227" s="196" t="s">
        <v>1730</v>
      </c>
      <c r="H227" s="531" t="s">
        <v>441</v>
      </c>
      <c r="I227" s="320">
        <v>33308</v>
      </c>
      <c r="J227" s="259">
        <v>19.024657534246575</v>
      </c>
      <c r="K227" s="197">
        <v>228.27087442472057</v>
      </c>
      <c r="L227" s="531" t="s">
        <v>493</v>
      </c>
      <c r="M227" s="512" t="s">
        <v>1031</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514"/>
      <c r="AK227" s="326">
        <f t="shared" si="6"/>
        <v>0</v>
      </c>
      <c r="AL227" s="512"/>
      <c r="AM227" s="515"/>
      <c r="AN227" s="510"/>
      <c r="AO227" s="88"/>
      <c r="AP227" s="516"/>
      <c r="AQ227" s="515"/>
      <c r="AR227" s="510"/>
      <c r="AS227" s="510"/>
      <c r="AT227" s="514"/>
      <c r="AU227" s="510"/>
      <c r="AV227" s="510"/>
      <c r="AW227" s="510"/>
      <c r="AX227" s="532" t="s">
        <v>1032</v>
      </c>
      <c r="AY227" s="201">
        <v>1</v>
      </c>
      <c r="AZ227" s="201">
        <v>1</v>
      </c>
      <c r="BA227" s="196">
        <v>1</v>
      </c>
      <c r="BB227" s="203"/>
      <c r="BC227" s="203"/>
      <c r="BD227" s="203"/>
      <c r="BE227" s="203"/>
      <c r="BF227" s="236"/>
      <c r="BG227" s="768"/>
      <c r="BH227" s="768"/>
      <c r="BI227" s="517"/>
      <c r="BJ227" s="518"/>
      <c r="BK227" s="518"/>
      <c r="BL227" s="518"/>
      <c r="BM227" s="518"/>
      <c r="BN227" s="518"/>
      <c r="BO227" s="518"/>
      <c r="BP227" s="518"/>
      <c r="BQ227" s="518"/>
      <c r="BR227" s="518"/>
      <c r="BS227" s="519"/>
      <c r="BT227" s="517" t="s">
        <v>213</v>
      </c>
      <c r="BU227" s="518"/>
      <c r="BV227" s="518"/>
      <c r="BW227" s="518"/>
      <c r="BX227" s="201"/>
      <c r="BY227" s="201"/>
      <c r="BZ227" s="201"/>
      <c r="CA227" s="201"/>
      <c r="CB227" s="201"/>
      <c r="CC227" s="201"/>
      <c r="CD227" s="201"/>
      <c r="CE227" s="201"/>
      <c r="CF227" s="201"/>
      <c r="CG227" s="518"/>
      <c r="CH227" s="201"/>
      <c r="CI227" s="201"/>
      <c r="CJ227" s="203">
        <v>0</v>
      </c>
      <c r="CK227" s="203">
        <v>0</v>
      </c>
      <c r="CL227" s="201"/>
      <c r="CP227" s="506"/>
      <c r="CQ227" s="506"/>
      <c r="CR227" s="320">
        <v>40243.774305555555</v>
      </c>
      <c r="CS227" s="320">
        <v>40267</v>
      </c>
      <c r="CT227" s="205">
        <v>15</v>
      </c>
      <c r="CU227" s="206"/>
      <c r="CV227" s="520"/>
      <c r="CW227" s="320"/>
      <c r="CX227" s="520"/>
      <c r="CY227" s="520"/>
      <c r="CZ227" s="520"/>
      <c r="DA227" s="320"/>
      <c r="DB227" s="520"/>
      <c r="DC227" s="320"/>
      <c r="DD227" s="520"/>
      <c r="DE227" s="320"/>
      <c r="DF227" s="520"/>
      <c r="DG227" s="320"/>
      <c r="DH227" s="320"/>
      <c r="DI227" s="201"/>
      <c r="DJ227" s="201">
        <v>0</v>
      </c>
      <c r="DK227" s="259"/>
      <c r="DL227" s="201"/>
      <c r="DM227" s="201"/>
      <c r="DN227" s="201"/>
      <c r="DO227" s="531" t="s">
        <v>821</v>
      </c>
      <c r="DP227" s="201"/>
      <c r="DQ227" s="201"/>
      <c r="DR227" s="201"/>
      <c r="DS227" s="201"/>
      <c r="DT227" s="201"/>
      <c r="DU227" s="201"/>
      <c r="DV227" s="516" t="b">
        <v>0</v>
      </c>
      <c r="DW227" s="201"/>
      <c r="DX227" s="201"/>
      <c r="DY227" s="201"/>
      <c r="DZ227" s="201"/>
      <c r="EA227" s="201"/>
      <c r="EB227" s="201"/>
      <c r="EC227" s="201"/>
      <c r="ED227" s="201"/>
      <c r="EE227" s="201"/>
      <c r="EF227" s="201"/>
      <c r="EG227" s="201"/>
      <c r="EH227" s="201"/>
      <c r="EI227" s="201"/>
    </row>
    <row r="228" spans="1:139" s="48" customFormat="1" ht="39.75" customHeight="1">
      <c r="A228" s="60">
        <v>442</v>
      </c>
      <c r="B228" s="108">
        <v>40203</v>
      </c>
      <c r="C228" s="62">
        <v>40203.614583333336</v>
      </c>
      <c r="D228" s="141">
        <v>1056562</v>
      </c>
      <c r="E228" s="529" t="s">
        <v>905</v>
      </c>
      <c r="F228" s="48" t="b">
        <v>0</v>
      </c>
      <c r="G228" s="48" t="s">
        <v>1487</v>
      </c>
      <c r="H228" s="529" t="s">
        <v>441</v>
      </c>
      <c r="I228" s="108">
        <v>13380</v>
      </c>
      <c r="J228" s="153">
        <v>73.487671232876707</v>
      </c>
      <c r="K228" s="85">
        <v>881.75542406311627</v>
      </c>
      <c r="L228" s="529" t="s">
        <v>442</v>
      </c>
      <c r="M228" s="495" t="s">
        <v>1033</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497"/>
      <c r="AK228" s="324">
        <f t="shared" si="6"/>
        <v>0</v>
      </c>
      <c r="AL228" s="495"/>
      <c r="AM228" s="498"/>
      <c r="AN228" s="138"/>
      <c r="AO228" s="61"/>
      <c r="AP228" s="143"/>
      <c r="AQ228" s="498"/>
      <c r="AR228" s="138"/>
      <c r="AS228" s="138"/>
      <c r="AT228" s="497"/>
      <c r="AU228" s="138"/>
      <c r="AV228" s="138"/>
      <c r="AW228" s="138"/>
      <c r="AX228" s="530" t="s">
        <v>1034</v>
      </c>
      <c r="AY228" s="71"/>
      <c r="AZ228" s="71">
        <v>1</v>
      </c>
      <c r="BB228" s="82"/>
      <c r="BC228" s="82"/>
      <c r="BD228" s="82"/>
      <c r="BE228" s="82"/>
      <c r="BF228" s="235"/>
      <c r="BG228" s="767"/>
      <c r="BH228" s="767"/>
      <c r="BI228" s="227"/>
      <c r="BJ228" s="140"/>
      <c r="BK228" s="140"/>
      <c r="BL228" s="140"/>
      <c r="BM228" s="140"/>
      <c r="BN228" s="140"/>
      <c r="BO228" s="140"/>
      <c r="BP228" s="140"/>
      <c r="BQ228" s="140"/>
      <c r="BR228" s="140"/>
      <c r="BS228" s="248"/>
      <c r="BT228" s="227" t="s">
        <v>213</v>
      </c>
      <c r="BU228" s="140"/>
      <c r="BV228" s="140"/>
      <c r="BW228" s="140"/>
      <c r="BX228" s="71"/>
      <c r="BY228" s="71"/>
      <c r="BZ228" s="71"/>
      <c r="CA228" s="71"/>
      <c r="CB228" s="71"/>
      <c r="CC228" s="71"/>
      <c r="CD228" s="71"/>
      <c r="CE228" s="71"/>
      <c r="CF228" s="71"/>
      <c r="CG228" s="140"/>
      <c r="CH228" s="71"/>
      <c r="CI228" s="71"/>
      <c r="CJ228" s="82">
        <v>0</v>
      </c>
      <c r="CK228" s="82">
        <v>0</v>
      </c>
      <c r="CL228" s="71"/>
      <c r="CP228" s="505"/>
      <c r="CQ228" s="505"/>
      <c r="CR228" s="108">
        <v>40195.692361111112</v>
      </c>
      <c r="CS228" s="108">
        <v>40252</v>
      </c>
      <c r="CT228" s="83">
        <v>49</v>
      </c>
      <c r="CU228" s="84"/>
      <c r="CV228" s="109"/>
      <c r="CW228" s="108"/>
      <c r="CX228" s="109"/>
      <c r="CY228" s="109"/>
      <c r="CZ228" s="109"/>
      <c r="DA228" s="108"/>
      <c r="DB228" s="109"/>
      <c r="DC228" s="108"/>
      <c r="DD228" s="109"/>
      <c r="DE228" s="108"/>
      <c r="DF228" s="109"/>
      <c r="DG228" s="108"/>
      <c r="DH228" s="108"/>
      <c r="DI228" s="71"/>
      <c r="DJ228" s="82">
        <v>1</v>
      </c>
      <c r="DK228" s="155">
        <v>26.265614727153189</v>
      </c>
      <c r="DL228" s="71"/>
      <c r="DM228" s="82" t="b">
        <v>1</v>
      </c>
      <c r="DN228" s="108">
        <v>41002</v>
      </c>
      <c r="DO228" s="71" t="s">
        <v>1035</v>
      </c>
      <c r="DP228" s="71"/>
      <c r="DQ228" s="71"/>
      <c r="DR228" s="71"/>
      <c r="DS228" s="71"/>
      <c r="DT228" s="71"/>
      <c r="DU228" s="71"/>
      <c r="DV228" s="71"/>
      <c r="DW228" s="71"/>
      <c r="DX228" s="71"/>
      <c r="DY228" s="71"/>
      <c r="DZ228" s="71"/>
      <c r="EA228" s="71"/>
      <c r="EB228" s="71"/>
      <c r="EC228" s="71"/>
      <c r="ED228" s="71"/>
      <c r="EE228" s="71"/>
      <c r="EF228" s="71"/>
      <c r="EG228" s="71"/>
      <c r="EH228" s="71"/>
      <c r="EI228" s="71"/>
    </row>
    <row r="229" spans="1:139" s="544" customFormat="1" ht="39.75" customHeight="1">
      <c r="A229" s="539">
        <v>446</v>
      </c>
      <c r="B229" s="540">
        <v>40171</v>
      </c>
      <c r="C229" s="541">
        <v>40171.645833333336</v>
      </c>
      <c r="D229" s="542">
        <v>9468134</v>
      </c>
      <c r="E229" s="543" t="s">
        <v>1036</v>
      </c>
      <c r="F229" s="544" t="b">
        <v>1</v>
      </c>
      <c r="H229" s="543" t="s">
        <v>441</v>
      </c>
      <c r="I229" s="540">
        <v>19725</v>
      </c>
      <c r="J229" s="570">
        <v>56.016438356164386</v>
      </c>
      <c r="K229" s="546">
        <v>672.12360289283367</v>
      </c>
      <c r="L229" s="543" t="s">
        <v>442</v>
      </c>
      <c r="M229" s="547" t="s">
        <v>1037</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77">
        <v>0</v>
      </c>
      <c r="AK229" s="552">
        <f t="shared" si="6"/>
        <v>0</v>
      </c>
      <c r="AL229" s="547" t="s">
        <v>2056</v>
      </c>
      <c r="AM229" s="575">
        <v>40163</v>
      </c>
      <c r="AN229" s="574" t="s">
        <v>1872</v>
      </c>
      <c r="AO229" s="555">
        <v>40192</v>
      </c>
      <c r="AP229" s="571" t="s">
        <v>2057</v>
      </c>
      <c r="AQ229" s="575">
        <v>40162</v>
      </c>
      <c r="AR229" s="574">
        <v>1</v>
      </c>
      <c r="AS229" s="574" t="s">
        <v>2058</v>
      </c>
      <c r="AT229" s="577">
        <v>0</v>
      </c>
      <c r="AU229" s="574">
        <v>1</v>
      </c>
      <c r="AV229" s="574">
        <v>0</v>
      </c>
      <c r="AW229" s="574">
        <v>0</v>
      </c>
      <c r="AX229" s="574" t="s">
        <v>1038</v>
      </c>
      <c r="AY229" s="574"/>
      <c r="AZ229" s="574" t="s">
        <v>2038</v>
      </c>
      <c r="BA229" s="544">
        <v>0</v>
      </c>
      <c r="BB229" s="558">
        <v>1</v>
      </c>
      <c r="BC229" s="558"/>
      <c r="BD229" s="558">
        <v>0</v>
      </c>
      <c r="BE229" s="558">
        <v>0</v>
      </c>
      <c r="BF229" s="559">
        <v>0</v>
      </c>
      <c r="BG229" s="771">
        <v>0</v>
      </c>
      <c r="BH229" s="771"/>
      <c r="BI229" s="573">
        <v>0</v>
      </c>
      <c r="BJ229" s="574"/>
      <c r="BK229" s="574">
        <v>0</v>
      </c>
      <c r="BL229" s="574"/>
      <c r="BM229" s="574">
        <v>0</v>
      </c>
      <c r="BN229" s="574"/>
      <c r="BO229" s="574">
        <v>0</v>
      </c>
      <c r="BP229" s="574">
        <v>0</v>
      </c>
      <c r="BQ229" s="574">
        <v>0</v>
      </c>
      <c r="BR229" s="574">
        <v>0</v>
      </c>
      <c r="BS229" s="562">
        <v>0</v>
      </c>
      <c r="BT229" s="560">
        <v>1</v>
      </c>
      <c r="BU229" s="561" t="s">
        <v>2059</v>
      </c>
      <c r="BV229" s="561">
        <v>0</v>
      </c>
      <c r="BW229" s="561">
        <v>0</v>
      </c>
      <c r="BX229" s="574">
        <v>0</v>
      </c>
      <c r="BY229" s="574"/>
      <c r="BZ229" s="574"/>
      <c r="CA229" s="574"/>
      <c r="CB229" s="574">
        <v>0</v>
      </c>
      <c r="CC229" s="574">
        <v>1</v>
      </c>
      <c r="CD229" s="574">
        <v>0</v>
      </c>
      <c r="CE229" s="574"/>
      <c r="CF229" s="574" t="s">
        <v>2060</v>
      </c>
      <c r="CG229" s="574"/>
      <c r="CH229" s="574">
        <v>0</v>
      </c>
      <c r="CI229" s="574" t="s">
        <v>2064</v>
      </c>
      <c r="CJ229" s="558">
        <v>0</v>
      </c>
      <c r="CK229" s="558">
        <v>0</v>
      </c>
      <c r="CL229" s="574">
        <v>0</v>
      </c>
      <c r="CM229" s="544">
        <v>172</v>
      </c>
      <c r="CN229" s="544">
        <v>150</v>
      </c>
      <c r="CP229" s="564">
        <v>29</v>
      </c>
      <c r="CQ229" s="564">
        <v>30.5</v>
      </c>
      <c r="CR229" s="540">
        <v>40163.675000000003</v>
      </c>
      <c r="CS229" s="540">
        <v>40193</v>
      </c>
      <c r="CT229" s="565">
        <v>22</v>
      </c>
      <c r="CU229" s="566">
        <v>44320</v>
      </c>
      <c r="CV229" s="567">
        <v>0</v>
      </c>
      <c r="CW229" s="543"/>
      <c r="CX229" s="567">
        <v>0</v>
      </c>
      <c r="CY229" s="567">
        <v>0</v>
      </c>
      <c r="CZ229" s="567">
        <v>0</v>
      </c>
      <c r="DA229" s="543"/>
      <c r="DB229" s="567">
        <v>0</v>
      </c>
      <c r="DC229" s="543"/>
      <c r="DD229" s="567">
        <v>0</v>
      </c>
      <c r="DE229" s="543"/>
      <c r="DF229" s="567">
        <v>0</v>
      </c>
      <c r="DG229" s="543"/>
      <c r="DH229" s="543"/>
      <c r="DI229" s="557"/>
      <c r="DJ229" s="557">
        <v>0</v>
      </c>
      <c r="DK229" s="557"/>
      <c r="DL229" s="543" t="s">
        <v>821</v>
      </c>
      <c r="DM229" s="543" t="s">
        <v>821</v>
      </c>
      <c r="DN229" s="540"/>
      <c r="DO229" s="557"/>
      <c r="DP229" s="557"/>
      <c r="DQ229" s="557"/>
      <c r="DR229" s="557"/>
      <c r="DS229" s="557"/>
      <c r="DT229" s="557"/>
      <c r="DU229" s="557"/>
      <c r="DV229" s="571" t="b">
        <v>0</v>
      </c>
      <c r="DW229" s="557"/>
      <c r="DX229" s="557"/>
      <c r="DY229" s="557"/>
      <c r="DZ229" s="557"/>
      <c r="EA229" s="557"/>
      <c r="EB229" s="557"/>
      <c r="EC229" s="557"/>
      <c r="ED229" s="557"/>
      <c r="EE229" s="557"/>
      <c r="EF229" s="557"/>
      <c r="EG229" s="557"/>
      <c r="EH229" s="557"/>
      <c r="EI229" s="557"/>
    </row>
    <row r="230" spans="1:139" s="544" customFormat="1" ht="39.75" customHeight="1">
      <c r="A230" s="539">
        <v>447</v>
      </c>
      <c r="B230" s="540">
        <v>40158</v>
      </c>
      <c r="C230" s="541">
        <v>40158.645833333336</v>
      </c>
      <c r="D230" s="542">
        <v>24296116</v>
      </c>
      <c r="E230" s="543" t="s">
        <v>1039</v>
      </c>
      <c r="F230" s="544" t="b">
        <v>1</v>
      </c>
      <c r="H230" s="543" t="s">
        <v>418</v>
      </c>
      <c r="I230" s="540">
        <v>29140</v>
      </c>
      <c r="J230" s="570">
        <v>30.186301369863013</v>
      </c>
      <c r="K230" s="546">
        <v>362.19592373438525</v>
      </c>
      <c r="L230" s="543" t="s">
        <v>442</v>
      </c>
      <c r="M230" s="547" t="s">
        <v>1040</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v>0</v>
      </c>
      <c r="AK230" s="552">
        <f t="shared" si="6"/>
        <v>0</v>
      </c>
      <c r="AL230" s="553"/>
      <c r="AM230" s="554">
        <v>40158</v>
      </c>
      <c r="AN230" s="549" t="s">
        <v>2061</v>
      </c>
      <c r="AO230" s="555">
        <v>40192</v>
      </c>
      <c r="AP230" s="539" t="s">
        <v>1041</v>
      </c>
      <c r="AQ230" s="554">
        <v>40157</v>
      </c>
      <c r="AR230" s="549">
        <v>0</v>
      </c>
      <c r="AS230" s="549"/>
      <c r="AT230" s="552">
        <v>0</v>
      </c>
      <c r="AU230" s="549">
        <v>1</v>
      </c>
      <c r="AV230" s="549">
        <v>0</v>
      </c>
      <c r="AW230" s="549">
        <v>1</v>
      </c>
      <c r="AX230" s="574" t="s">
        <v>1042</v>
      </c>
      <c r="AY230" s="574"/>
      <c r="AZ230" s="574" t="s">
        <v>1503</v>
      </c>
      <c r="BA230" s="544">
        <v>0</v>
      </c>
      <c r="BB230" s="558">
        <v>1</v>
      </c>
      <c r="BC230" s="558"/>
      <c r="BD230" s="558">
        <v>0</v>
      </c>
      <c r="BE230" s="558">
        <v>0</v>
      </c>
      <c r="BF230" s="559">
        <v>0</v>
      </c>
      <c r="BG230" s="771">
        <v>0</v>
      </c>
      <c r="BH230" s="771"/>
      <c r="BI230" s="573">
        <v>1</v>
      </c>
      <c r="BJ230" s="574"/>
      <c r="BK230" s="574">
        <v>1</v>
      </c>
      <c r="BL230" s="574" t="s">
        <v>2062</v>
      </c>
      <c r="BM230" s="574">
        <v>1</v>
      </c>
      <c r="BN230" s="574" t="s">
        <v>2063</v>
      </c>
      <c r="BO230" s="574">
        <v>0</v>
      </c>
      <c r="BP230" s="574">
        <v>0</v>
      </c>
      <c r="BQ230" s="574">
        <v>1</v>
      </c>
      <c r="BR230" s="574">
        <v>1</v>
      </c>
      <c r="BS230" s="562">
        <v>0</v>
      </c>
      <c r="BT230" s="573">
        <v>0</v>
      </c>
      <c r="BU230" s="574"/>
      <c r="BV230" s="574">
        <v>0</v>
      </c>
      <c r="BW230" s="574">
        <v>0</v>
      </c>
      <c r="BX230" s="574">
        <v>0</v>
      </c>
      <c r="BY230" s="574"/>
      <c r="BZ230" s="574"/>
      <c r="CA230" s="557"/>
      <c r="CB230" s="578">
        <v>0</v>
      </c>
      <c r="CC230" s="578">
        <v>0</v>
      </c>
      <c r="CD230" s="578">
        <v>0</v>
      </c>
      <c r="CE230" s="578"/>
      <c r="CF230" s="578"/>
      <c r="CG230" s="574"/>
      <c r="CH230" s="574">
        <v>0</v>
      </c>
      <c r="CI230" s="574"/>
      <c r="CJ230" s="558">
        <v>0</v>
      </c>
      <c r="CK230" s="558">
        <v>0</v>
      </c>
      <c r="CL230" s="574">
        <v>0</v>
      </c>
      <c r="CM230" s="544">
        <v>206</v>
      </c>
      <c r="CN230" s="544">
        <v>171</v>
      </c>
      <c r="CP230" s="564">
        <v>25.4</v>
      </c>
      <c r="CQ230" s="564">
        <v>26.7</v>
      </c>
      <c r="CR230" s="540">
        <v>40157.758333333331</v>
      </c>
      <c r="CS230" s="540">
        <v>40173</v>
      </c>
      <c r="CT230" s="565">
        <v>15</v>
      </c>
      <c r="CU230" s="566">
        <v>42395</v>
      </c>
      <c r="CV230" s="567">
        <v>0</v>
      </c>
      <c r="CW230" s="543"/>
      <c r="CX230" s="567">
        <v>0</v>
      </c>
      <c r="CY230" s="567">
        <v>0</v>
      </c>
      <c r="CZ230" s="567">
        <v>0</v>
      </c>
      <c r="DA230" s="543"/>
      <c r="DB230" s="567">
        <v>0</v>
      </c>
      <c r="DC230" s="543"/>
      <c r="DD230" s="567">
        <v>0</v>
      </c>
      <c r="DE230" s="543"/>
      <c r="DF230" s="567">
        <v>0</v>
      </c>
      <c r="DG230" s="543"/>
      <c r="DH230" s="543"/>
      <c r="DI230" s="557" t="s">
        <v>986</v>
      </c>
      <c r="DJ230" s="557">
        <v>0</v>
      </c>
      <c r="DK230" s="557"/>
      <c r="DL230" s="543" t="s">
        <v>821</v>
      </c>
      <c r="DM230" s="543" t="s">
        <v>821</v>
      </c>
      <c r="DN230" s="540"/>
      <c r="DO230" s="557"/>
      <c r="DP230" s="557"/>
      <c r="DQ230" s="557"/>
      <c r="DR230" s="557"/>
      <c r="DS230" s="557"/>
      <c r="DT230" s="557"/>
      <c r="DU230" s="557"/>
      <c r="DV230" s="571" t="b">
        <v>0</v>
      </c>
      <c r="DW230" s="557"/>
      <c r="DX230" s="557"/>
      <c r="DY230" s="557"/>
      <c r="DZ230" s="557"/>
      <c r="EA230" s="557"/>
      <c r="EB230" s="557"/>
      <c r="EC230" s="557"/>
      <c r="ED230" s="557"/>
      <c r="EE230" s="557"/>
      <c r="EF230" s="557"/>
      <c r="EG230" s="557"/>
      <c r="EH230" s="557"/>
      <c r="EI230" s="557"/>
    </row>
    <row r="231" spans="1:139" s="544" customFormat="1" ht="39.75" customHeight="1">
      <c r="A231" s="539">
        <v>448</v>
      </c>
      <c r="B231" s="540">
        <v>40154</v>
      </c>
      <c r="C231" s="541">
        <v>40154.298611111109</v>
      </c>
      <c r="D231" s="542">
        <v>24157589</v>
      </c>
      <c r="E231" s="543" t="s">
        <v>1043</v>
      </c>
      <c r="F231" s="544" t="b">
        <v>1</v>
      </c>
      <c r="H231" s="543" t="s">
        <v>418</v>
      </c>
      <c r="I231" s="540">
        <v>21226</v>
      </c>
      <c r="J231" s="570">
        <v>51.857534246575341</v>
      </c>
      <c r="K231" s="546">
        <v>622.22222222222217</v>
      </c>
      <c r="L231" s="543" t="s">
        <v>442</v>
      </c>
      <c r="M231" s="547" t="s">
        <v>1044</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77">
        <v>0</v>
      </c>
      <c r="AK231" s="552">
        <f t="shared" si="6"/>
        <v>1</v>
      </c>
      <c r="AL231" s="547"/>
      <c r="AM231" s="575">
        <v>40135</v>
      </c>
      <c r="AN231" s="574" t="s">
        <v>1890</v>
      </c>
      <c r="AO231" s="555">
        <v>40182</v>
      </c>
      <c r="AP231" s="571" t="s">
        <v>1723</v>
      </c>
      <c r="AQ231" s="575">
        <v>40137</v>
      </c>
      <c r="AR231" s="574">
        <v>0</v>
      </c>
      <c r="AS231" s="574"/>
      <c r="AT231" s="577">
        <v>0</v>
      </c>
      <c r="AU231" s="574">
        <v>1</v>
      </c>
      <c r="AV231" s="574">
        <v>0</v>
      </c>
      <c r="AW231" s="574">
        <v>0</v>
      </c>
      <c r="AX231" s="574" t="s">
        <v>1045</v>
      </c>
      <c r="AY231" s="574"/>
      <c r="AZ231" s="574" t="s">
        <v>1503</v>
      </c>
      <c r="BA231" s="544">
        <v>0</v>
      </c>
      <c r="BB231" s="558">
        <v>1</v>
      </c>
      <c r="BC231" s="558">
        <v>2</v>
      </c>
      <c r="BD231" s="558">
        <v>0</v>
      </c>
      <c r="BE231" s="558">
        <v>0</v>
      </c>
      <c r="BF231" s="559">
        <v>1</v>
      </c>
      <c r="BG231" s="771">
        <v>0</v>
      </c>
      <c r="BH231" s="771"/>
      <c r="BI231" s="573">
        <v>0</v>
      </c>
      <c r="BJ231" s="574"/>
      <c r="BK231" s="574">
        <v>0</v>
      </c>
      <c r="BL231" s="574"/>
      <c r="BM231" s="574">
        <v>0</v>
      </c>
      <c r="BN231" s="574"/>
      <c r="BO231" s="574">
        <v>0</v>
      </c>
      <c r="BP231" s="574">
        <v>0</v>
      </c>
      <c r="BQ231" s="574">
        <v>0</v>
      </c>
      <c r="BR231" s="574">
        <v>0</v>
      </c>
      <c r="BS231" s="562">
        <v>0</v>
      </c>
      <c r="BT231" s="560">
        <v>1</v>
      </c>
      <c r="BU231" s="561" t="s">
        <v>1908</v>
      </c>
      <c r="BV231" s="561">
        <v>0</v>
      </c>
      <c r="BW231" s="561">
        <v>0</v>
      </c>
      <c r="BX231" s="574">
        <v>0</v>
      </c>
      <c r="BY231" s="574"/>
      <c r="BZ231" s="574"/>
      <c r="CA231" s="574"/>
      <c r="CB231" s="574">
        <v>0</v>
      </c>
      <c r="CC231" s="574">
        <v>0</v>
      </c>
      <c r="CD231" s="574">
        <v>0</v>
      </c>
      <c r="CE231" s="574"/>
      <c r="CF231" s="574"/>
      <c r="CG231" s="574"/>
      <c r="CH231" s="574">
        <v>0</v>
      </c>
      <c r="CI231" s="574"/>
      <c r="CJ231" s="558">
        <v>0</v>
      </c>
      <c r="CK231" s="558">
        <v>0</v>
      </c>
      <c r="CL231" s="574">
        <v>0</v>
      </c>
      <c r="CM231" s="544">
        <v>144</v>
      </c>
      <c r="CN231" s="544">
        <v>119</v>
      </c>
      <c r="CP231" s="564">
        <v>29.8</v>
      </c>
      <c r="CQ231" s="564">
        <v>31</v>
      </c>
      <c r="CR231" s="540">
        <v>40134.65347222222</v>
      </c>
      <c r="CS231" s="540">
        <v>40181</v>
      </c>
      <c r="CT231" s="565">
        <v>27</v>
      </c>
      <c r="CU231" s="566">
        <v>44180</v>
      </c>
      <c r="CV231" s="567">
        <v>0</v>
      </c>
      <c r="CW231" s="543"/>
      <c r="CX231" s="567">
        <v>0</v>
      </c>
      <c r="CY231" s="567">
        <v>0</v>
      </c>
      <c r="CZ231" s="567">
        <v>0</v>
      </c>
      <c r="DA231" s="543"/>
      <c r="DB231" s="567">
        <v>0</v>
      </c>
      <c r="DC231" s="543"/>
      <c r="DD231" s="567">
        <v>0</v>
      </c>
      <c r="DE231" s="543"/>
      <c r="DF231" s="567">
        <v>0</v>
      </c>
      <c r="DG231" s="543"/>
      <c r="DH231" s="543"/>
      <c r="DI231" s="557"/>
      <c r="DJ231" s="557">
        <v>0</v>
      </c>
      <c r="DK231" s="557"/>
      <c r="DL231" s="543" t="s">
        <v>821</v>
      </c>
      <c r="DM231" s="543" t="s">
        <v>821</v>
      </c>
      <c r="DN231" s="540"/>
      <c r="DO231" s="557"/>
      <c r="DP231" s="557"/>
      <c r="DQ231" s="557"/>
      <c r="DR231" s="557"/>
      <c r="DS231" s="557"/>
      <c r="DT231" s="557"/>
      <c r="DU231" s="557"/>
      <c r="DV231" s="571" t="b">
        <v>0</v>
      </c>
      <c r="DW231" s="557"/>
      <c r="DX231" s="557"/>
      <c r="DY231" s="557"/>
      <c r="DZ231" s="557"/>
      <c r="EA231" s="557"/>
      <c r="EB231" s="557"/>
      <c r="EC231" s="557"/>
      <c r="ED231" s="557"/>
      <c r="EE231" s="557"/>
      <c r="EF231" s="557"/>
      <c r="EG231" s="557"/>
      <c r="EH231" s="557"/>
      <c r="EI231" s="557"/>
    </row>
    <row r="232" spans="1:139" s="544" customFormat="1" ht="39.75" customHeight="1">
      <c r="A232" s="539">
        <v>453</v>
      </c>
      <c r="B232" s="540">
        <v>40102</v>
      </c>
      <c r="C232" s="541">
        <v>40102.623611111114</v>
      </c>
      <c r="D232" s="542">
        <v>22272376</v>
      </c>
      <c r="E232" s="543" t="s">
        <v>1046</v>
      </c>
      <c r="F232" s="544" t="b">
        <v>1</v>
      </c>
      <c r="H232" s="543" t="s">
        <v>418</v>
      </c>
      <c r="I232" s="543" t="s">
        <v>1047</v>
      </c>
      <c r="J232" s="570">
        <v>29.989041095890411</v>
      </c>
      <c r="K232" s="546">
        <v>359.82905982905982</v>
      </c>
      <c r="L232" s="543" t="s">
        <v>442</v>
      </c>
      <c r="M232" s="547" t="s">
        <v>1048</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v>0</v>
      </c>
      <c r="AK232" s="552">
        <f t="shared" si="6"/>
        <v>0</v>
      </c>
      <c r="AL232" s="553"/>
      <c r="AM232" s="554">
        <v>40101</v>
      </c>
      <c r="AN232" s="549" t="s">
        <v>2065</v>
      </c>
      <c r="AO232" s="555">
        <v>40128</v>
      </c>
      <c r="AP232" s="539" t="s">
        <v>409</v>
      </c>
      <c r="AQ232" s="554">
        <v>40101</v>
      </c>
      <c r="AR232" s="549">
        <v>1</v>
      </c>
      <c r="AS232" s="549" t="s">
        <v>2066</v>
      </c>
      <c r="AT232" s="552">
        <v>0</v>
      </c>
      <c r="AU232" s="549">
        <v>1</v>
      </c>
      <c r="AV232" s="549">
        <v>0</v>
      </c>
      <c r="AW232" s="549">
        <v>1</v>
      </c>
      <c r="AX232" s="574" t="s">
        <v>1049</v>
      </c>
      <c r="AY232" s="574"/>
      <c r="AZ232" s="574" t="s">
        <v>1537</v>
      </c>
      <c r="BA232" s="544">
        <v>0</v>
      </c>
      <c r="BB232" s="558">
        <v>1</v>
      </c>
      <c r="BC232" s="558"/>
      <c r="BD232" s="558">
        <v>0</v>
      </c>
      <c r="BE232" s="558">
        <v>0</v>
      </c>
      <c r="BF232" s="559">
        <v>0</v>
      </c>
      <c r="BG232" s="771">
        <v>0</v>
      </c>
      <c r="BH232" s="771"/>
      <c r="BI232" s="579">
        <v>1</v>
      </c>
      <c r="BJ232" s="558"/>
      <c r="BK232" s="558">
        <v>1</v>
      </c>
      <c r="BL232" s="558" t="s">
        <v>2067</v>
      </c>
      <c r="BM232" s="580">
        <v>1</v>
      </c>
      <c r="BN232" s="580" t="s">
        <v>2068</v>
      </c>
      <c r="BO232" s="580">
        <v>1</v>
      </c>
      <c r="BP232" s="580">
        <v>0</v>
      </c>
      <c r="BQ232" s="580">
        <v>0</v>
      </c>
      <c r="BR232" s="580">
        <v>0</v>
      </c>
      <c r="BS232" s="559">
        <v>1</v>
      </c>
      <c r="BT232" s="573">
        <v>0</v>
      </c>
      <c r="BU232" s="574"/>
      <c r="BV232" s="574">
        <v>0</v>
      </c>
      <c r="BW232" s="574">
        <v>0</v>
      </c>
      <c r="BX232" s="574">
        <v>0</v>
      </c>
      <c r="BY232" s="574"/>
      <c r="BZ232" s="574"/>
      <c r="CA232" s="557"/>
      <c r="CB232" s="578">
        <v>0</v>
      </c>
      <c r="CC232" s="578">
        <v>0</v>
      </c>
      <c r="CD232" s="578">
        <v>0</v>
      </c>
      <c r="CE232" s="578"/>
      <c r="CF232" s="578"/>
      <c r="CG232" s="574"/>
      <c r="CH232" s="574">
        <v>0</v>
      </c>
      <c r="CI232" s="574"/>
      <c r="CJ232" s="558">
        <v>0</v>
      </c>
      <c r="CK232" s="558">
        <v>0</v>
      </c>
      <c r="CL232" s="574">
        <v>0</v>
      </c>
      <c r="CM232" s="544">
        <v>208</v>
      </c>
      <c r="CN232" s="544">
        <v>188</v>
      </c>
      <c r="CP232" s="564">
        <v>26</v>
      </c>
      <c r="CQ232" s="564">
        <v>26.8</v>
      </c>
      <c r="CR232" s="540">
        <v>40101.599999999999</v>
      </c>
      <c r="CS232" s="540">
        <v>40129</v>
      </c>
      <c r="CT232" s="565">
        <v>27</v>
      </c>
      <c r="CU232" s="566">
        <v>44158</v>
      </c>
      <c r="CV232" s="567">
        <v>0</v>
      </c>
      <c r="CW232" s="540"/>
      <c r="CX232" s="567">
        <v>0</v>
      </c>
      <c r="CY232" s="567">
        <v>0</v>
      </c>
      <c r="CZ232" s="567">
        <v>0</v>
      </c>
      <c r="DA232" s="540"/>
      <c r="DB232" s="567">
        <v>0</v>
      </c>
      <c r="DC232" s="540"/>
      <c r="DD232" s="567">
        <v>0</v>
      </c>
      <c r="DE232" s="540"/>
      <c r="DF232" s="567">
        <v>0</v>
      </c>
      <c r="DG232" s="540"/>
      <c r="DH232" s="540"/>
      <c r="DI232" s="557" t="s">
        <v>986</v>
      </c>
      <c r="DJ232" s="557">
        <v>0</v>
      </c>
      <c r="DK232" s="557"/>
      <c r="DL232" s="543" t="s">
        <v>821</v>
      </c>
      <c r="DM232" s="543" t="s">
        <v>821</v>
      </c>
      <c r="DN232" s="540"/>
      <c r="DO232" s="557"/>
      <c r="DP232" s="557"/>
      <c r="DQ232" s="557"/>
      <c r="DR232" s="557"/>
      <c r="DS232" s="557"/>
      <c r="DT232" s="557"/>
      <c r="DU232" s="557"/>
      <c r="DV232" s="571" t="b">
        <v>0</v>
      </c>
      <c r="DW232" s="557"/>
      <c r="DX232" s="557"/>
      <c r="DY232" s="557"/>
      <c r="DZ232" s="557"/>
      <c r="EA232" s="557"/>
      <c r="EB232" s="557"/>
      <c r="EC232" s="557"/>
      <c r="ED232" s="557"/>
      <c r="EE232" s="557"/>
      <c r="EF232" s="557"/>
      <c r="EG232" s="557"/>
      <c r="EH232" s="557"/>
      <c r="EI232" s="557"/>
    </row>
    <row r="233" spans="1:139" s="544" customFormat="1" ht="39.75" customHeight="1">
      <c r="A233" s="539">
        <v>454</v>
      </c>
      <c r="B233" s="540">
        <v>40076</v>
      </c>
      <c r="C233" s="541">
        <v>40076.866666666669</v>
      </c>
      <c r="D233" s="542">
        <v>22578890</v>
      </c>
      <c r="E233" s="543" t="s">
        <v>965</v>
      </c>
      <c r="F233" s="544" t="b">
        <v>1</v>
      </c>
      <c r="H233" s="543" t="s">
        <v>418</v>
      </c>
      <c r="I233" s="543" t="s">
        <v>966</v>
      </c>
      <c r="J233" s="570">
        <v>39.271232876712325</v>
      </c>
      <c r="K233" s="546">
        <v>471.20315581854038</v>
      </c>
      <c r="L233" s="543" t="s">
        <v>442</v>
      </c>
      <c r="M233" s="547" t="s">
        <v>1050</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77">
        <v>0</v>
      </c>
      <c r="AK233" s="552">
        <f t="shared" si="6"/>
        <v>1</v>
      </c>
      <c r="AL233" s="547" t="s">
        <v>2069</v>
      </c>
      <c r="AM233" s="575">
        <v>40076</v>
      </c>
      <c r="AN233" s="574" t="s">
        <v>1733</v>
      </c>
      <c r="AO233" s="555">
        <v>40118</v>
      </c>
      <c r="AP233" s="571" t="s">
        <v>1489</v>
      </c>
      <c r="AQ233" s="575">
        <v>40076</v>
      </c>
      <c r="AR233" s="574">
        <v>0</v>
      </c>
      <c r="AS233" s="574"/>
      <c r="AT233" s="577">
        <v>0</v>
      </c>
      <c r="AU233" s="574">
        <v>1</v>
      </c>
      <c r="AV233" s="574">
        <v>0</v>
      </c>
      <c r="AW233" s="574">
        <v>1</v>
      </c>
      <c r="AX233" s="574" t="s">
        <v>1051</v>
      </c>
      <c r="AY233" s="574"/>
      <c r="AZ233" s="574" t="s">
        <v>1503</v>
      </c>
      <c r="BA233" s="544">
        <v>0</v>
      </c>
      <c r="BB233" s="558">
        <v>1</v>
      </c>
      <c r="BC233" s="558"/>
      <c r="BD233" s="558">
        <v>1</v>
      </c>
      <c r="BE233" s="558">
        <v>1</v>
      </c>
      <c r="BF233" s="559">
        <v>0</v>
      </c>
      <c r="BG233" s="771">
        <v>0</v>
      </c>
      <c r="BH233" s="771"/>
      <c r="BI233" s="573">
        <v>0</v>
      </c>
      <c r="BJ233" s="574"/>
      <c r="BK233" s="574">
        <v>0</v>
      </c>
      <c r="BL233" s="574"/>
      <c r="BM233" s="574">
        <v>0</v>
      </c>
      <c r="BN233" s="574"/>
      <c r="BO233" s="574">
        <v>0</v>
      </c>
      <c r="BP233" s="574">
        <v>0</v>
      </c>
      <c r="BQ233" s="574">
        <v>0</v>
      </c>
      <c r="BR233" s="574">
        <v>0</v>
      </c>
      <c r="BS233" s="562">
        <v>0</v>
      </c>
      <c r="BT233" s="560">
        <v>1</v>
      </c>
      <c r="BU233" s="561" t="s">
        <v>2070</v>
      </c>
      <c r="BV233" s="561">
        <v>0</v>
      </c>
      <c r="BW233" s="561">
        <v>0</v>
      </c>
      <c r="BX233" s="574">
        <v>0</v>
      </c>
      <c r="BY233" s="574"/>
      <c r="BZ233" s="574"/>
      <c r="CA233" s="574"/>
      <c r="CB233" s="574">
        <v>0</v>
      </c>
      <c r="CC233" s="574">
        <v>0</v>
      </c>
      <c r="CD233" s="574">
        <v>0</v>
      </c>
      <c r="CE233" s="574"/>
      <c r="CF233" s="574"/>
      <c r="CG233" s="574"/>
      <c r="CH233" s="574">
        <v>0</v>
      </c>
      <c r="CI233" s="574"/>
      <c r="CJ233" s="558">
        <v>0</v>
      </c>
      <c r="CK233" s="558">
        <v>0</v>
      </c>
      <c r="CL233" s="574">
        <v>0</v>
      </c>
      <c r="CM233" s="544">
        <v>209</v>
      </c>
      <c r="CN233" s="544">
        <v>179</v>
      </c>
      <c r="CP233" s="564">
        <v>25.6</v>
      </c>
      <c r="CQ233" s="564">
        <v>27.5</v>
      </c>
      <c r="CR233" s="540">
        <v>40076.827777777777</v>
      </c>
      <c r="CS233" s="540">
        <v>40100</v>
      </c>
      <c r="CT233" s="565">
        <v>24</v>
      </c>
      <c r="CU233" s="566">
        <v>44350</v>
      </c>
      <c r="CV233" s="567">
        <v>0</v>
      </c>
      <c r="CW233" s="540"/>
      <c r="CX233" s="567">
        <v>0</v>
      </c>
      <c r="CY233" s="567">
        <v>0</v>
      </c>
      <c r="CZ233" s="567">
        <v>0</v>
      </c>
      <c r="DA233" s="540"/>
      <c r="DB233" s="567">
        <v>0</v>
      </c>
      <c r="DC233" s="540"/>
      <c r="DD233" s="567">
        <v>0</v>
      </c>
      <c r="DE233" s="540"/>
      <c r="DF233" s="567">
        <v>0</v>
      </c>
      <c r="DG233" s="540"/>
      <c r="DH233" s="540"/>
      <c r="DI233" s="557" t="s">
        <v>986</v>
      </c>
      <c r="DJ233" s="557">
        <v>0</v>
      </c>
      <c r="DK233" s="557"/>
      <c r="DL233" s="543" t="s">
        <v>821</v>
      </c>
      <c r="DM233" s="543" t="s">
        <v>821</v>
      </c>
      <c r="DN233" s="540"/>
      <c r="DO233" s="557"/>
      <c r="DP233" s="557"/>
      <c r="DQ233" s="557"/>
      <c r="DR233" s="557"/>
      <c r="DS233" s="557"/>
      <c r="DT233" s="557"/>
      <c r="DU233" s="557"/>
      <c r="DV233" s="571" t="b">
        <v>0</v>
      </c>
      <c r="DW233" s="557"/>
      <c r="DX233" s="557"/>
      <c r="DY233" s="557"/>
      <c r="DZ233" s="557"/>
      <c r="EA233" s="557"/>
      <c r="EB233" s="557"/>
      <c r="EC233" s="557"/>
      <c r="ED233" s="557"/>
      <c r="EE233" s="557"/>
      <c r="EF233" s="557"/>
      <c r="EG233" s="557"/>
      <c r="EH233" s="557"/>
      <c r="EI233" s="557"/>
    </row>
    <row r="234" spans="1:139" s="544" customFormat="1" ht="39.75" customHeight="1">
      <c r="A234" s="539">
        <v>457</v>
      </c>
      <c r="B234" s="540">
        <v>40018</v>
      </c>
      <c r="C234" s="541">
        <v>40018.333333333336</v>
      </c>
      <c r="D234" s="542">
        <v>23508111</v>
      </c>
      <c r="E234" s="543" t="s">
        <v>1052</v>
      </c>
      <c r="F234" s="544" t="b">
        <v>1</v>
      </c>
      <c r="H234" s="543" t="s">
        <v>441</v>
      </c>
      <c r="I234" s="543" t="s">
        <v>1053</v>
      </c>
      <c r="J234" s="570">
        <v>75.243835616438361</v>
      </c>
      <c r="K234" s="546">
        <v>902.82708744247202</v>
      </c>
      <c r="L234" s="543" t="s">
        <v>493</v>
      </c>
      <c r="M234" s="547" t="s">
        <v>1054</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v>0</v>
      </c>
      <c r="AK234" s="552">
        <f t="shared" si="6"/>
        <v>0</v>
      </c>
      <c r="AL234" s="553" t="s">
        <v>1055</v>
      </c>
      <c r="AM234" s="554">
        <v>40015</v>
      </c>
      <c r="AN234" s="549" t="s">
        <v>1890</v>
      </c>
      <c r="AO234" s="555">
        <v>40043</v>
      </c>
      <c r="AP234" s="539" t="s">
        <v>223</v>
      </c>
      <c r="AQ234" s="554"/>
      <c r="AR234" s="549">
        <v>1</v>
      </c>
      <c r="AS234" s="549" t="s">
        <v>314</v>
      </c>
      <c r="AT234" s="552">
        <v>0</v>
      </c>
      <c r="AU234" s="549">
        <v>1</v>
      </c>
      <c r="AV234" s="549">
        <v>0</v>
      </c>
      <c r="AW234" s="549">
        <v>0</v>
      </c>
      <c r="AX234" s="574" t="s">
        <v>1056</v>
      </c>
      <c r="AY234" s="574"/>
      <c r="AZ234" s="574" t="s">
        <v>1503</v>
      </c>
      <c r="BA234" s="544">
        <v>0</v>
      </c>
      <c r="BB234" s="558">
        <v>1</v>
      </c>
      <c r="BC234" s="558"/>
      <c r="BD234" s="558">
        <v>0</v>
      </c>
      <c r="BE234" s="558">
        <v>0</v>
      </c>
      <c r="BF234" s="559">
        <v>1</v>
      </c>
      <c r="BG234" s="771">
        <v>0</v>
      </c>
      <c r="BH234" s="771"/>
      <c r="BI234" s="579">
        <v>1</v>
      </c>
      <c r="BJ234" s="558"/>
      <c r="BK234" s="558">
        <v>1</v>
      </c>
      <c r="BL234" s="558" t="s">
        <v>2071</v>
      </c>
      <c r="BM234" s="558">
        <v>1</v>
      </c>
      <c r="BN234" s="558" t="s">
        <v>2072</v>
      </c>
      <c r="BO234" s="558">
        <v>0</v>
      </c>
      <c r="BP234" s="558">
        <v>0</v>
      </c>
      <c r="BQ234" s="558">
        <v>1</v>
      </c>
      <c r="BR234" s="558">
        <v>0</v>
      </c>
      <c r="BS234" s="559">
        <v>0</v>
      </c>
      <c r="BT234" s="573">
        <v>0</v>
      </c>
      <c r="BU234" s="574"/>
      <c r="BV234" s="574">
        <v>0</v>
      </c>
      <c r="BW234" s="574">
        <v>0</v>
      </c>
      <c r="BX234" s="574">
        <v>0</v>
      </c>
      <c r="BY234" s="574"/>
      <c r="BZ234" s="574"/>
      <c r="CA234" s="557"/>
      <c r="CB234" s="578">
        <v>0</v>
      </c>
      <c r="CC234" s="578">
        <v>0</v>
      </c>
      <c r="CD234" s="578">
        <v>0</v>
      </c>
      <c r="CE234" s="578"/>
      <c r="CF234" s="578"/>
      <c r="CG234" s="574"/>
      <c r="CH234" s="574">
        <v>0</v>
      </c>
      <c r="CI234" s="574"/>
      <c r="CJ234" s="558">
        <v>0</v>
      </c>
      <c r="CK234" s="558">
        <v>0</v>
      </c>
      <c r="CL234" s="574">
        <v>0</v>
      </c>
      <c r="CM234" s="544">
        <v>69</v>
      </c>
      <c r="CN234" s="544">
        <v>53</v>
      </c>
      <c r="CP234" s="564">
        <v>30.5</v>
      </c>
      <c r="CQ234" s="564">
        <v>32.5</v>
      </c>
      <c r="CR234" s="540">
        <v>40014.547222222223</v>
      </c>
      <c r="CS234" s="540">
        <v>40035</v>
      </c>
      <c r="CT234" s="565">
        <v>17</v>
      </c>
      <c r="CU234" s="566">
        <v>44280</v>
      </c>
      <c r="CV234" s="567">
        <v>0</v>
      </c>
      <c r="CW234" s="540"/>
      <c r="CX234" s="567">
        <v>0</v>
      </c>
      <c r="CY234" s="567">
        <v>0</v>
      </c>
      <c r="CZ234" s="567">
        <v>0</v>
      </c>
      <c r="DA234" s="540"/>
      <c r="DB234" s="567">
        <v>0</v>
      </c>
      <c r="DC234" s="540"/>
      <c r="DD234" s="567">
        <v>0</v>
      </c>
      <c r="DE234" s="540"/>
      <c r="DF234" s="567">
        <v>0</v>
      </c>
      <c r="DG234" s="540"/>
      <c r="DH234" s="540"/>
      <c r="DI234" s="557"/>
      <c r="DJ234" s="557">
        <v>0</v>
      </c>
      <c r="DK234" s="557"/>
      <c r="DL234" s="543" t="s">
        <v>821</v>
      </c>
      <c r="DM234" s="543" t="s">
        <v>821</v>
      </c>
      <c r="DN234" s="540"/>
      <c r="DO234" s="557"/>
      <c r="DP234" s="557"/>
      <c r="DQ234" s="557"/>
      <c r="DR234" s="557"/>
      <c r="DS234" s="557"/>
      <c r="DT234" s="557"/>
      <c r="DU234" s="557"/>
      <c r="DV234" s="571" t="b">
        <v>0</v>
      </c>
      <c r="DW234" s="557"/>
      <c r="DX234" s="557"/>
      <c r="DY234" s="557"/>
      <c r="DZ234" s="557"/>
      <c r="EA234" s="557"/>
      <c r="EB234" s="557"/>
      <c r="EC234" s="557"/>
      <c r="ED234" s="557"/>
      <c r="EE234" s="557"/>
      <c r="EF234" s="557"/>
      <c r="EG234" s="557"/>
      <c r="EH234" s="557"/>
      <c r="EI234" s="557"/>
    </row>
    <row r="235" spans="1:139" s="544" customFormat="1" ht="39.75" customHeight="1">
      <c r="A235" s="539">
        <v>459</v>
      </c>
      <c r="B235" s="540">
        <v>40012</v>
      </c>
      <c r="C235" s="541">
        <v>40012.4375</v>
      </c>
      <c r="D235" s="542">
        <v>23504243</v>
      </c>
      <c r="E235" s="543" t="s">
        <v>1057</v>
      </c>
      <c r="F235" s="544" t="b">
        <v>1</v>
      </c>
      <c r="H235" s="543" t="s">
        <v>441</v>
      </c>
      <c r="I235" s="543" t="s">
        <v>1058</v>
      </c>
      <c r="J235" s="570">
        <v>36.739726027397261</v>
      </c>
      <c r="K235" s="546">
        <v>440.82840236686388</v>
      </c>
      <c r="L235" s="543" t="s">
        <v>493</v>
      </c>
      <c r="M235" s="547" t="s">
        <v>1059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77">
        <v>0</v>
      </c>
      <c r="AK235" s="552">
        <f t="shared" si="6"/>
        <v>1</v>
      </c>
      <c r="AL235" s="547"/>
      <c r="AM235" s="575">
        <v>40011</v>
      </c>
      <c r="AN235" s="574" t="s">
        <v>2073</v>
      </c>
      <c r="AO235" s="555">
        <v>40054</v>
      </c>
      <c r="AP235" s="571" t="s">
        <v>1517</v>
      </c>
      <c r="AQ235" s="575">
        <v>40012</v>
      </c>
      <c r="AR235" s="574">
        <v>0</v>
      </c>
      <c r="AS235" s="574"/>
      <c r="AT235" s="577">
        <v>0</v>
      </c>
      <c r="AU235" s="574">
        <v>1</v>
      </c>
      <c r="AV235" s="574">
        <v>0</v>
      </c>
      <c r="AW235" s="574">
        <v>1</v>
      </c>
      <c r="AX235" s="574" t="s">
        <v>1060</v>
      </c>
      <c r="AY235" s="574"/>
      <c r="AZ235" s="574" t="s">
        <v>1503</v>
      </c>
      <c r="BA235" s="544">
        <v>0</v>
      </c>
      <c r="BB235" s="558">
        <v>1</v>
      </c>
      <c r="BC235" s="558"/>
      <c r="BD235" s="558">
        <v>0</v>
      </c>
      <c r="BE235" s="558">
        <v>0</v>
      </c>
      <c r="BF235" s="559">
        <v>0</v>
      </c>
      <c r="BG235" s="771">
        <v>0</v>
      </c>
      <c r="BH235" s="771"/>
      <c r="BI235" s="573">
        <v>0</v>
      </c>
      <c r="BJ235" s="574"/>
      <c r="BK235" s="574">
        <v>0</v>
      </c>
      <c r="BL235" s="574"/>
      <c r="BM235" s="574">
        <v>0</v>
      </c>
      <c r="BN235" s="574"/>
      <c r="BO235" s="574">
        <v>0</v>
      </c>
      <c r="BP235" s="574">
        <v>0</v>
      </c>
      <c r="BQ235" s="574">
        <v>0</v>
      </c>
      <c r="BR235" s="574">
        <v>0</v>
      </c>
      <c r="BS235" s="562">
        <v>0</v>
      </c>
      <c r="BT235" s="573">
        <v>1</v>
      </c>
      <c r="BU235" s="574" t="s">
        <v>2055</v>
      </c>
      <c r="BV235" s="574">
        <v>0</v>
      </c>
      <c r="BW235" s="574">
        <v>0</v>
      </c>
      <c r="BX235" s="574">
        <v>0</v>
      </c>
      <c r="BY235" s="574"/>
      <c r="BZ235" s="574"/>
      <c r="CA235" s="574"/>
      <c r="CB235" s="574">
        <v>0</v>
      </c>
      <c r="CC235" s="574">
        <v>0</v>
      </c>
      <c r="CD235" s="574">
        <v>0</v>
      </c>
      <c r="CE235" s="574"/>
      <c r="CF235" s="574"/>
      <c r="CG235" s="574"/>
      <c r="CH235" s="574">
        <v>0</v>
      </c>
      <c r="CI235" s="574"/>
      <c r="CJ235" s="558">
        <v>0</v>
      </c>
      <c r="CK235" s="558">
        <v>0</v>
      </c>
      <c r="CL235" s="574">
        <v>0</v>
      </c>
      <c r="CM235" s="544">
        <v>79</v>
      </c>
      <c r="CN235" s="544">
        <v>59</v>
      </c>
      <c r="CP235" s="564">
        <v>29.4</v>
      </c>
      <c r="CQ235" s="564">
        <v>30.8</v>
      </c>
      <c r="CR235" s="540">
        <v>40011.784722222219</v>
      </c>
      <c r="CS235" s="540">
        <v>40059</v>
      </c>
      <c r="CT235" s="565">
        <v>47</v>
      </c>
      <c r="CU235" s="566">
        <v>40396</v>
      </c>
      <c r="CV235" s="567">
        <v>0</v>
      </c>
      <c r="CW235" s="540"/>
      <c r="CX235" s="567">
        <v>0</v>
      </c>
      <c r="CY235" s="567">
        <v>0</v>
      </c>
      <c r="CZ235" s="567">
        <v>0</v>
      </c>
      <c r="DA235" s="540"/>
      <c r="DB235" s="567">
        <v>0</v>
      </c>
      <c r="DC235" s="540"/>
      <c r="DD235" s="567">
        <v>0</v>
      </c>
      <c r="DE235" s="540"/>
      <c r="DF235" s="567">
        <v>0</v>
      </c>
      <c r="DG235" s="540"/>
      <c r="DH235" s="540"/>
      <c r="DI235" s="557"/>
      <c r="DJ235" s="557">
        <v>0</v>
      </c>
      <c r="DK235" s="557"/>
      <c r="DL235" s="543" t="s">
        <v>821</v>
      </c>
      <c r="DM235" s="543" t="s">
        <v>821</v>
      </c>
      <c r="DN235" s="540"/>
      <c r="DO235" s="557"/>
      <c r="DP235" s="557"/>
      <c r="DQ235" s="557"/>
      <c r="DR235" s="557"/>
      <c r="DS235" s="557"/>
      <c r="DT235" s="557"/>
      <c r="DU235" s="557"/>
      <c r="DV235" s="571" t="b">
        <v>0</v>
      </c>
      <c r="DW235" s="557"/>
      <c r="DX235" s="557"/>
      <c r="DY235" s="557"/>
      <c r="DZ235" s="557"/>
      <c r="EA235" s="557"/>
      <c r="EB235" s="557"/>
      <c r="EC235" s="557"/>
      <c r="ED235" s="557"/>
      <c r="EE235" s="557"/>
      <c r="EF235" s="557"/>
      <c r="EG235" s="557"/>
      <c r="EH235" s="557"/>
      <c r="EI235" s="557"/>
    </row>
    <row r="236" spans="1:139" s="544" customFormat="1" ht="39.75" customHeight="1">
      <c r="A236" s="539">
        <v>461</v>
      </c>
      <c r="B236" s="540">
        <v>40002</v>
      </c>
      <c r="C236" s="541">
        <v>40002.629166666666</v>
      </c>
      <c r="D236" s="542">
        <v>23100636</v>
      </c>
      <c r="E236" s="543" t="s">
        <v>1061</v>
      </c>
      <c r="F236" s="544" t="b">
        <v>1</v>
      </c>
      <c r="H236" s="543" t="s">
        <v>441</v>
      </c>
      <c r="I236" s="543" t="s">
        <v>1062</v>
      </c>
      <c r="J236" s="570">
        <v>62.358904109589041</v>
      </c>
      <c r="K236" s="546">
        <v>748.2248520710059</v>
      </c>
      <c r="L236" s="543" t="s">
        <v>493</v>
      </c>
      <c r="M236" s="547" t="s">
        <v>1063</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77">
        <v>0</v>
      </c>
      <c r="AK236" s="552">
        <f t="shared" si="6"/>
        <v>0</v>
      </c>
      <c r="AL236" s="547" t="s">
        <v>2074</v>
      </c>
      <c r="AM236" s="575">
        <v>39979</v>
      </c>
      <c r="AN236" s="574" t="s">
        <v>2075</v>
      </c>
      <c r="AO236" s="555">
        <v>40014</v>
      </c>
      <c r="AP236" s="571" t="s">
        <v>2076</v>
      </c>
      <c r="AQ236" s="575">
        <v>39979</v>
      </c>
      <c r="AR236" s="574">
        <v>0</v>
      </c>
      <c r="AS236" s="574"/>
      <c r="AT236" s="577">
        <v>0</v>
      </c>
      <c r="AU236" s="574">
        <v>0</v>
      </c>
      <c r="AV236" s="574">
        <v>1</v>
      </c>
      <c r="AW236" s="574">
        <v>0</v>
      </c>
      <c r="AX236" s="574" t="s">
        <v>1064</v>
      </c>
      <c r="AY236" s="574"/>
      <c r="AZ236" s="574" t="s">
        <v>1507</v>
      </c>
      <c r="BA236" s="544">
        <v>0</v>
      </c>
      <c r="BB236" s="558">
        <v>1</v>
      </c>
      <c r="BC236" s="558">
        <v>3</v>
      </c>
      <c r="BD236" s="558">
        <v>0</v>
      </c>
      <c r="BE236" s="558">
        <v>0</v>
      </c>
      <c r="BF236" s="559">
        <v>0</v>
      </c>
      <c r="BG236" s="771">
        <v>0</v>
      </c>
      <c r="BH236" s="771"/>
      <c r="BI236" s="573">
        <v>1</v>
      </c>
      <c r="BJ236" s="574">
        <v>1</v>
      </c>
      <c r="BK236" s="574">
        <v>0</v>
      </c>
      <c r="BL236" s="574"/>
      <c r="BM236" s="574">
        <v>0</v>
      </c>
      <c r="BN236" s="574"/>
      <c r="BO236" s="574">
        <v>0</v>
      </c>
      <c r="BP236" s="574">
        <v>0</v>
      </c>
      <c r="BQ236" s="574">
        <v>0</v>
      </c>
      <c r="BR236" s="574">
        <v>0</v>
      </c>
      <c r="BS236" s="562">
        <v>0</v>
      </c>
      <c r="BT236" s="573">
        <v>0</v>
      </c>
      <c r="BU236" s="574"/>
      <c r="BV236" s="574">
        <v>0</v>
      </c>
      <c r="BW236" s="574">
        <v>0</v>
      </c>
      <c r="BX236" s="574">
        <v>0</v>
      </c>
      <c r="BY236" s="574"/>
      <c r="BZ236" s="574"/>
      <c r="CA236" s="574"/>
      <c r="CB236" s="574">
        <v>0</v>
      </c>
      <c r="CC236" s="574">
        <v>1</v>
      </c>
      <c r="CD236" s="574">
        <v>1</v>
      </c>
      <c r="CE236" s="574"/>
      <c r="CF236" s="558" t="s">
        <v>1494</v>
      </c>
      <c r="CG236" s="574" t="s">
        <v>2077</v>
      </c>
      <c r="CH236" s="558">
        <v>1</v>
      </c>
      <c r="CI236" s="580" t="s">
        <v>2078</v>
      </c>
      <c r="CJ236" s="558">
        <v>0</v>
      </c>
      <c r="CK236" s="558">
        <v>0</v>
      </c>
      <c r="CL236" s="574">
        <v>0</v>
      </c>
      <c r="CM236" s="544">
        <v>131</v>
      </c>
      <c r="CN236" s="544">
        <v>102</v>
      </c>
      <c r="CP236" s="564">
        <v>28.4</v>
      </c>
      <c r="CQ236" s="564">
        <v>29.2</v>
      </c>
      <c r="CR236" s="540">
        <v>39979.838888888888</v>
      </c>
      <c r="CS236" s="540">
        <v>40021</v>
      </c>
      <c r="CT236" s="565">
        <v>19</v>
      </c>
      <c r="CU236" s="566">
        <v>42992</v>
      </c>
      <c r="CV236" s="567">
        <v>0</v>
      </c>
      <c r="CW236" s="540"/>
      <c r="CX236" s="567">
        <v>0</v>
      </c>
      <c r="CY236" s="567">
        <v>0</v>
      </c>
      <c r="CZ236" s="567">
        <v>0</v>
      </c>
      <c r="DA236" s="540"/>
      <c r="DB236" s="567">
        <v>0</v>
      </c>
      <c r="DC236" s="540"/>
      <c r="DD236" s="567">
        <v>0</v>
      </c>
      <c r="DE236" s="540"/>
      <c r="DF236" s="567">
        <v>0</v>
      </c>
      <c r="DG236" s="540"/>
      <c r="DH236" s="540"/>
      <c r="DI236" s="557"/>
      <c r="DJ236" s="557">
        <v>0</v>
      </c>
      <c r="DK236" s="557"/>
      <c r="DL236" s="543" t="s">
        <v>821</v>
      </c>
      <c r="DM236" s="543" t="s">
        <v>821</v>
      </c>
      <c r="DN236" s="540"/>
      <c r="DO236" s="557"/>
      <c r="DP236" s="557"/>
      <c r="DQ236" s="557"/>
      <c r="DR236" s="557"/>
      <c r="DS236" s="557"/>
      <c r="DT236" s="557"/>
      <c r="DU236" s="557"/>
      <c r="DV236" s="571" t="b">
        <v>0</v>
      </c>
      <c r="DW236" s="557"/>
      <c r="DX236" s="557"/>
      <c r="DY236" s="557"/>
      <c r="DZ236" s="557"/>
      <c r="EA236" s="557"/>
      <c r="EB236" s="557"/>
      <c r="EC236" s="557"/>
      <c r="ED236" s="557"/>
      <c r="EE236" s="557"/>
      <c r="EF236" s="557"/>
      <c r="EG236" s="557"/>
      <c r="EH236" s="557"/>
      <c r="EI236" s="557"/>
    </row>
    <row r="237" spans="1:139" s="544" customFormat="1" ht="39.75" customHeight="1">
      <c r="A237" s="539">
        <v>462</v>
      </c>
      <c r="B237" s="540">
        <v>39987</v>
      </c>
      <c r="C237" s="541">
        <v>39987.298611111109</v>
      </c>
      <c r="D237" s="542">
        <v>23306009</v>
      </c>
      <c r="E237" s="543" t="s">
        <v>1065</v>
      </c>
      <c r="F237" s="544" t="b">
        <v>1</v>
      </c>
      <c r="H237" s="543" t="s">
        <v>441</v>
      </c>
      <c r="I237" s="543" t="s">
        <v>1066</v>
      </c>
      <c r="J237" s="570">
        <v>26.682191780821917</v>
      </c>
      <c r="K237" s="546">
        <v>320.15121630506246</v>
      </c>
      <c r="L237" s="543" t="s">
        <v>500</v>
      </c>
      <c r="M237" s="547" t="s">
        <v>1067</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v>0</v>
      </c>
      <c r="AK237" s="552">
        <f t="shared" si="6"/>
        <v>0</v>
      </c>
      <c r="AL237" s="553"/>
      <c r="AM237" s="554">
        <v>39972</v>
      </c>
      <c r="AN237" s="549" t="s">
        <v>1525</v>
      </c>
      <c r="AO237" s="555">
        <v>40015</v>
      </c>
      <c r="AP237" s="539" t="s">
        <v>187</v>
      </c>
      <c r="AQ237" s="554">
        <v>39972</v>
      </c>
      <c r="AR237" s="549">
        <v>1</v>
      </c>
      <c r="AS237" s="549" t="s">
        <v>1068</v>
      </c>
      <c r="AT237" s="552">
        <v>0</v>
      </c>
      <c r="AU237" s="549">
        <v>1</v>
      </c>
      <c r="AV237" s="549">
        <v>0</v>
      </c>
      <c r="AW237" s="549">
        <v>1</v>
      </c>
      <c r="AX237" s="574" t="s">
        <v>1069</v>
      </c>
      <c r="AY237" s="543"/>
      <c r="AZ237" s="543" t="s">
        <v>1503</v>
      </c>
      <c r="BA237" s="544">
        <v>0</v>
      </c>
      <c r="BB237" s="558">
        <v>1</v>
      </c>
      <c r="BC237" s="558"/>
      <c r="BD237" s="558">
        <v>0</v>
      </c>
      <c r="BE237" s="558">
        <v>0</v>
      </c>
      <c r="BF237" s="559">
        <v>0</v>
      </c>
      <c r="BG237" s="771">
        <v>0</v>
      </c>
      <c r="BH237" s="771"/>
      <c r="BI237" s="579">
        <v>1</v>
      </c>
      <c r="BJ237" s="558"/>
      <c r="BK237" s="558">
        <v>1</v>
      </c>
      <c r="BL237" s="558" t="s">
        <v>2079</v>
      </c>
      <c r="BM237" s="558">
        <v>1</v>
      </c>
      <c r="BN237" s="558" t="s">
        <v>2080</v>
      </c>
      <c r="BO237" s="558">
        <v>0</v>
      </c>
      <c r="BP237" s="558">
        <v>0</v>
      </c>
      <c r="BQ237" s="558">
        <v>0</v>
      </c>
      <c r="BR237" s="558">
        <v>0</v>
      </c>
      <c r="BS237" s="559">
        <v>1</v>
      </c>
      <c r="BT237" s="581" t="s">
        <v>1826</v>
      </c>
      <c r="BU237" s="543"/>
      <c r="BV237" s="543" t="s">
        <v>1826</v>
      </c>
      <c r="BW237" s="543" t="s">
        <v>1826</v>
      </c>
      <c r="BX237" s="557" t="s">
        <v>1826</v>
      </c>
      <c r="BY237" s="557"/>
      <c r="BZ237" s="557"/>
      <c r="CA237" s="557"/>
      <c r="CB237" s="563">
        <v>0</v>
      </c>
      <c r="CC237" s="563">
        <v>0</v>
      </c>
      <c r="CD237" s="563">
        <v>0</v>
      </c>
      <c r="CE237" s="563"/>
      <c r="CF237" s="563"/>
      <c r="CG237" s="543"/>
      <c r="CH237" s="557">
        <v>0</v>
      </c>
      <c r="CI237" s="557"/>
      <c r="CJ237" s="558">
        <v>0</v>
      </c>
      <c r="CK237" s="558">
        <v>0</v>
      </c>
      <c r="CL237" s="574">
        <v>0</v>
      </c>
      <c r="CM237" s="544">
        <v>106</v>
      </c>
      <c r="CN237" s="544">
        <v>85</v>
      </c>
      <c r="CP237" s="564">
        <v>28.7</v>
      </c>
      <c r="CQ237" s="564">
        <v>30.5</v>
      </c>
      <c r="CR237" s="582">
        <v>39973</v>
      </c>
      <c r="CS237" s="540">
        <v>40016</v>
      </c>
      <c r="CT237" s="565">
        <v>29</v>
      </c>
      <c r="CU237" s="566">
        <v>41263</v>
      </c>
      <c r="CV237" s="567">
        <v>0</v>
      </c>
      <c r="CW237" s="540"/>
      <c r="CX237" s="567">
        <v>0</v>
      </c>
      <c r="CY237" s="567">
        <v>0</v>
      </c>
      <c r="CZ237" s="567">
        <v>0</v>
      </c>
      <c r="DA237" s="540"/>
      <c r="DB237" s="567">
        <v>0</v>
      </c>
      <c r="DC237" s="540"/>
      <c r="DD237" s="567">
        <v>0</v>
      </c>
      <c r="DE237" s="540"/>
      <c r="DF237" s="567">
        <v>0</v>
      </c>
      <c r="DG237" s="540"/>
      <c r="DH237" s="540"/>
      <c r="DI237" s="543"/>
      <c r="DJ237" s="583">
        <v>0</v>
      </c>
      <c r="DK237" s="543"/>
      <c r="DL237" s="543"/>
      <c r="DM237" s="543"/>
      <c r="DN237" s="543"/>
      <c r="DO237" s="543"/>
      <c r="DP237" s="543"/>
      <c r="DQ237" s="543"/>
      <c r="DR237" s="543"/>
      <c r="DS237" s="543"/>
      <c r="DT237" s="543"/>
      <c r="DU237" s="543"/>
      <c r="DV237" s="571" t="b">
        <v>0</v>
      </c>
      <c r="DW237" s="557"/>
      <c r="DX237" s="557"/>
      <c r="DY237" s="557"/>
      <c r="DZ237" s="557"/>
      <c r="EA237" s="557"/>
      <c r="EB237" s="557"/>
      <c r="EC237" s="557"/>
      <c r="ED237" s="557"/>
      <c r="EE237" s="557"/>
      <c r="EF237" s="557"/>
      <c r="EG237" s="557"/>
      <c r="EH237" s="557"/>
      <c r="EI237" s="557"/>
    </row>
    <row r="238" spans="1:139" s="544" customFormat="1" ht="39.75" customHeight="1">
      <c r="A238" s="539">
        <v>465</v>
      </c>
      <c r="B238" s="540">
        <v>39933</v>
      </c>
      <c r="C238" s="541">
        <v>39933.677083333336</v>
      </c>
      <c r="D238" s="542">
        <v>11759358</v>
      </c>
      <c r="E238" s="543" t="s">
        <v>1070</v>
      </c>
      <c r="F238" s="544" t="b">
        <v>1</v>
      </c>
      <c r="H238" s="543" t="s">
        <v>441</v>
      </c>
      <c r="I238" s="543" t="s">
        <v>1071</v>
      </c>
      <c r="J238" s="570">
        <v>28.728767123287671</v>
      </c>
      <c r="K238" s="546">
        <v>344.70742932281394</v>
      </c>
      <c r="L238" s="543" t="s">
        <v>493</v>
      </c>
      <c r="M238" s="547" t="s">
        <v>1072</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v>0</v>
      </c>
      <c r="AK238" s="552">
        <f t="shared" si="6"/>
        <v>0</v>
      </c>
      <c r="AL238" s="553"/>
      <c r="AM238" s="554">
        <v>39933</v>
      </c>
      <c r="AN238" s="549" t="s">
        <v>1598</v>
      </c>
      <c r="AO238" s="555">
        <v>39963</v>
      </c>
      <c r="AP238" s="539" t="s">
        <v>409</v>
      </c>
      <c r="AQ238" s="554">
        <v>39931</v>
      </c>
      <c r="AR238" s="549">
        <v>0</v>
      </c>
      <c r="AS238" s="549"/>
      <c r="AT238" s="552">
        <v>0</v>
      </c>
      <c r="AU238" s="549">
        <v>1</v>
      </c>
      <c r="AV238" s="549">
        <v>0</v>
      </c>
      <c r="AW238" s="549">
        <v>1</v>
      </c>
      <c r="AX238" s="574" t="s">
        <v>1073</v>
      </c>
      <c r="AY238" s="543"/>
      <c r="AZ238" s="574" t="s">
        <v>1503</v>
      </c>
      <c r="BA238" s="544">
        <v>0</v>
      </c>
      <c r="BB238" s="558">
        <v>1</v>
      </c>
      <c r="BC238" s="558"/>
      <c r="BD238" s="558">
        <v>0</v>
      </c>
      <c r="BE238" s="558">
        <v>0</v>
      </c>
      <c r="BF238" s="559">
        <v>1</v>
      </c>
      <c r="BG238" s="771">
        <v>0</v>
      </c>
      <c r="BH238" s="771"/>
      <c r="BI238" s="579">
        <v>1</v>
      </c>
      <c r="BJ238" s="558"/>
      <c r="BK238" s="558">
        <v>1</v>
      </c>
      <c r="BL238" s="558" t="s">
        <v>1979</v>
      </c>
      <c r="BM238" s="558">
        <v>1</v>
      </c>
      <c r="BN238" s="558" t="s">
        <v>2081</v>
      </c>
      <c r="BO238" s="558">
        <v>0</v>
      </c>
      <c r="BP238" s="558">
        <v>0</v>
      </c>
      <c r="BQ238" s="558">
        <v>1</v>
      </c>
      <c r="BR238" s="558">
        <v>0</v>
      </c>
      <c r="BS238" s="559">
        <v>0</v>
      </c>
      <c r="BT238" s="581" t="s">
        <v>1826</v>
      </c>
      <c r="BU238" s="543"/>
      <c r="BV238" s="543" t="s">
        <v>1826</v>
      </c>
      <c r="BW238" s="543" t="s">
        <v>1826</v>
      </c>
      <c r="BX238" s="557" t="s">
        <v>1826</v>
      </c>
      <c r="BY238" s="557"/>
      <c r="BZ238" s="557"/>
      <c r="CA238" s="563"/>
      <c r="CB238" s="563">
        <v>0</v>
      </c>
      <c r="CC238" s="563">
        <v>0</v>
      </c>
      <c r="CD238" s="563">
        <v>0</v>
      </c>
      <c r="CE238" s="563"/>
      <c r="CF238" s="563"/>
      <c r="CG238" s="543"/>
      <c r="CH238" s="557">
        <v>0</v>
      </c>
      <c r="CI238" s="557"/>
      <c r="CJ238" s="558">
        <v>0</v>
      </c>
      <c r="CK238" s="558">
        <v>0</v>
      </c>
      <c r="CL238" s="574">
        <v>0</v>
      </c>
      <c r="CM238" s="544">
        <v>71</v>
      </c>
      <c r="CN238" s="544">
        <v>55</v>
      </c>
      <c r="CP238" s="564">
        <v>30.5</v>
      </c>
      <c r="CQ238" s="564">
        <v>31.3</v>
      </c>
      <c r="CR238" s="582">
        <v>39932</v>
      </c>
      <c r="CS238" s="540">
        <v>39964</v>
      </c>
      <c r="CT238" s="565">
        <v>31</v>
      </c>
      <c r="CU238" s="566">
        <v>43249</v>
      </c>
      <c r="CV238" s="567">
        <v>0</v>
      </c>
      <c r="CW238" s="540"/>
      <c r="CX238" s="567">
        <v>0</v>
      </c>
      <c r="CY238" s="567">
        <v>0</v>
      </c>
      <c r="CZ238" s="567">
        <v>0</v>
      </c>
      <c r="DA238" s="540"/>
      <c r="DB238" s="567">
        <v>0</v>
      </c>
      <c r="DC238" s="540"/>
      <c r="DD238" s="567">
        <v>0</v>
      </c>
      <c r="DE238" s="540"/>
      <c r="DF238" s="567">
        <v>0</v>
      </c>
      <c r="DG238" s="540"/>
      <c r="DH238" s="540"/>
      <c r="DI238" s="543"/>
      <c r="DJ238" s="583">
        <v>0</v>
      </c>
      <c r="DK238" s="543"/>
      <c r="DL238" s="543"/>
      <c r="DM238" s="543"/>
      <c r="DN238" s="543"/>
      <c r="DO238" s="543"/>
      <c r="DP238" s="543"/>
      <c r="DQ238" s="543"/>
      <c r="DR238" s="543"/>
      <c r="DS238" s="543"/>
      <c r="DT238" s="543"/>
      <c r="DU238" s="543"/>
      <c r="DV238" s="571" t="b">
        <v>0</v>
      </c>
      <c r="DW238" s="557"/>
      <c r="DX238" s="557"/>
      <c r="DY238" s="557"/>
      <c r="DZ238" s="557"/>
      <c r="EA238" s="557"/>
      <c r="EB238" s="557"/>
      <c r="EC238" s="557"/>
      <c r="ED238" s="557"/>
      <c r="EE238" s="557"/>
      <c r="EF238" s="557"/>
      <c r="EG238" s="557"/>
      <c r="EH238" s="557"/>
      <c r="EI238" s="557"/>
    </row>
    <row r="239" spans="1:139" s="48" customFormat="1" ht="39.75" customHeight="1">
      <c r="A239" s="60">
        <v>466</v>
      </c>
      <c r="B239" s="108">
        <v>39931</v>
      </c>
      <c r="C239" s="62">
        <v>39931.409722222219</v>
      </c>
      <c r="D239" s="141">
        <v>21936466</v>
      </c>
      <c r="E239" s="529" t="s">
        <v>1074</v>
      </c>
      <c r="F239" s="48" t="b">
        <v>0</v>
      </c>
      <c r="G239" s="48" t="s">
        <v>1487</v>
      </c>
      <c r="H239" s="529" t="s">
        <v>418</v>
      </c>
      <c r="I239" s="529" t="s">
        <v>1075</v>
      </c>
      <c r="J239" s="142">
        <v>41.101369863013701</v>
      </c>
      <c r="K239" s="85">
        <v>493.16239316239313</v>
      </c>
      <c r="L239" s="529" t="s">
        <v>500</v>
      </c>
      <c r="M239" s="495" t="s">
        <v>1076</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497"/>
      <c r="AK239" s="324">
        <f t="shared" si="6"/>
        <v>0</v>
      </c>
      <c r="AL239" s="495"/>
      <c r="AM239" s="498"/>
      <c r="AN239" s="138"/>
      <c r="AO239" s="61"/>
      <c r="AP239" s="143"/>
      <c r="AQ239" s="498"/>
      <c r="AR239" s="138"/>
      <c r="AS239" s="138"/>
      <c r="AT239" s="497"/>
      <c r="AU239" s="138"/>
      <c r="AV239" s="138"/>
      <c r="AW239" s="138"/>
      <c r="AX239" s="138" t="s">
        <v>1077</v>
      </c>
      <c r="AY239" s="529"/>
      <c r="AZ239" s="529"/>
      <c r="BB239" s="82"/>
      <c r="BC239" s="82"/>
      <c r="BD239" s="82"/>
      <c r="BE239" s="82"/>
      <c r="BF239" s="235"/>
      <c r="BG239" s="767"/>
      <c r="BH239" s="767"/>
      <c r="BI239" s="584"/>
      <c r="BJ239" s="529"/>
      <c r="BK239" s="529"/>
      <c r="BL239" s="529"/>
      <c r="BM239" s="529"/>
      <c r="BN239" s="529"/>
      <c r="BO239" s="529"/>
      <c r="BP239" s="529"/>
      <c r="BQ239" s="529"/>
      <c r="BR239" s="529"/>
      <c r="BS239" s="585"/>
      <c r="BT239" s="228" t="s">
        <v>213</v>
      </c>
      <c r="BU239" s="138"/>
      <c r="BV239" s="138"/>
      <c r="BW239" s="138"/>
      <c r="BX239" s="138"/>
      <c r="BY239" s="138"/>
      <c r="BZ239" s="138"/>
      <c r="CA239" s="138"/>
      <c r="CB239" s="529"/>
      <c r="CC239" s="529"/>
      <c r="CD239" s="529"/>
      <c r="CE239" s="529"/>
      <c r="CF239" s="529"/>
      <c r="CG239" s="529"/>
      <c r="CH239" s="71"/>
      <c r="CI239" s="71"/>
      <c r="CJ239" s="82">
        <v>0</v>
      </c>
      <c r="CK239" s="82">
        <v>0</v>
      </c>
      <c r="CL239" s="138" t="s">
        <v>209</v>
      </c>
      <c r="CP239" s="505"/>
      <c r="CQ239" s="505"/>
      <c r="CR239" s="586">
        <v>39909</v>
      </c>
      <c r="CS239" s="108">
        <v>39978</v>
      </c>
      <c r="CT239" s="83">
        <v>47</v>
      </c>
      <c r="CU239" s="84"/>
      <c r="CV239" s="109"/>
      <c r="CW239" s="108"/>
      <c r="CX239" s="109"/>
      <c r="CY239" s="109"/>
      <c r="CZ239" s="109"/>
      <c r="DA239" s="108"/>
      <c r="DB239" s="109"/>
      <c r="DC239" s="108"/>
      <c r="DD239" s="109"/>
      <c r="DE239" s="108"/>
      <c r="DF239" s="109"/>
      <c r="DG239" s="108"/>
      <c r="DH239" s="108"/>
      <c r="DI239" s="529"/>
      <c r="DJ239" s="147">
        <v>0</v>
      </c>
      <c r="DK239" s="529"/>
      <c r="DL239" s="529"/>
      <c r="DM239" s="529"/>
      <c r="DN239" s="529"/>
      <c r="DO239" s="529"/>
      <c r="DP239" s="529"/>
      <c r="DQ239" s="529"/>
      <c r="DR239" s="529"/>
      <c r="DS239" s="529"/>
      <c r="DT239" s="529"/>
      <c r="DU239" s="529"/>
      <c r="DV239" s="143" t="b">
        <v>0</v>
      </c>
      <c r="DW239" s="108">
        <v>39960</v>
      </c>
      <c r="DX239" s="138" t="s">
        <v>1078</v>
      </c>
      <c r="DY239" s="138" t="s">
        <v>1079</v>
      </c>
      <c r="DZ239" s="71"/>
      <c r="EA239" s="71"/>
      <c r="EB239" s="71"/>
      <c r="EC239" s="71"/>
      <c r="ED239" s="71"/>
      <c r="EE239" s="71"/>
      <c r="EF239" s="71"/>
      <c r="EG239" s="71"/>
      <c r="EH239" s="71"/>
      <c r="EI239" s="71"/>
    </row>
    <row r="240" spans="1:139" s="544" customFormat="1" ht="39.75" customHeight="1">
      <c r="A240" s="539">
        <v>467</v>
      </c>
      <c r="B240" s="540">
        <v>39931</v>
      </c>
      <c r="C240" s="541">
        <v>39931.68472222222</v>
      </c>
      <c r="D240" s="542">
        <v>23102573</v>
      </c>
      <c r="E240" s="543" t="s">
        <v>1080</v>
      </c>
      <c r="F240" s="544" t="b">
        <v>1</v>
      </c>
      <c r="H240" s="543" t="s">
        <v>418</v>
      </c>
      <c r="I240" s="543" t="s">
        <v>1081</v>
      </c>
      <c r="J240" s="570">
        <v>43.339726027397262</v>
      </c>
      <c r="K240" s="546">
        <v>520.01972386587772</v>
      </c>
      <c r="L240" s="543" t="s">
        <v>493</v>
      </c>
      <c r="M240" s="547" t="s">
        <v>1082</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v>0</v>
      </c>
      <c r="AK240" s="552">
        <f t="shared" si="6"/>
        <v>0</v>
      </c>
      <c r="AL240" s="553"/>
      <c r="AM240" s="554">
        <v>39927</v>
      </c>
      <c r="AN240" s="549" t="s">
        <v>1733</v>
      </c>
      <c r="AO240" s="555">
        <v>39959</v>
      </c>
      <c r="AP240" s="539" t="s">
        <v>223</v>
      </c>
      <c r="AQ240" s="554"/>
      <c r="AR240" s="549">
        <v>1</v>
      </c>
      <c r="AS240" s="549" t="s">
        <v>2082</v>
      </c>
      <c r="AT240" s="552">
        <v>0</v>
      </c>
      <c r="AU240" s="549">
        <v>1</v>
      </c>
      <c r="AV240" s="549">
        <v>0</v>
      </c>
      <c r="AW240" s="549">
        <v>1</v>
      </c>
      <c r="AX240" s="574" t="s">
        <v>1083</v>
      </c>
      <c r="AY240" s="543"/>
      <c r="AZ240" s="574" t="s">
        <v>1503</v>
      </c>
      <c r="BA240" s="544">
        <v>0</v>
      </c>
      <c r="BB240" s="558">
        <v>1</v>
      </c>
      <c r="BC240" s="558"/>
      <c r="BD240" s="558">
        <v>0</v>
      </c>
      <c r="BE240" s="558">
        <v>0</v>
      </c>
      <c r="BF240" s="559">
        <v>0</v>
      </c>
      <c r="BG240" s="771">
        <v>0</v>
      </c>
      <c r="BH240" s="771"/>
      <c r="BI240" s="579">
        <v>1</v>
      </c>
      <c r="BJ240" s="558"/>
      <c r="BK240" s="558">
        <v>0</v>
      </c>
      <c r="BL240" s="558"/>
      <c r="BM240" s="558">
        <v>1</v>
      </c>
      <c r="BN240" s="558" t="s">
        <v>1902</v>
      </c>
      <c r="BO240" s="558">
        <v>0</v>
      </c>
      <c r="BP240" s="558">
        <v>0</v>
      </c>
      <c r="BQ240" s="558">
        <v>1</v>
      </c>
      <c r="BR240" s="558">
        <v>0</v>
      </c>
      <c r="BS240" s="559">
        <v>0</v>
      </c>
      <c r="BT240" s="581" t="s">
        <v>1826</v>
      </c>
      <c r="BU240" s="543"/>
      <c r="BV240" s="543" t="s">
        <v>1826</v>
      </c>
      <c r="BW240" s="543" t="s">
        <v>1826</v>
      </c>
      <c r="BX240" s="563" t="s">
        <v>1826</v>
      </c>
      <c r="BY240" s="563"/>
      <c r="BZ240" s="563"/>
      <c r="CA240" s="557"/>
      <c r="CB240" s="563">
        <v>0</v>
      </c>
      <c r="CC240" s="563">
        <v>0</v>
      </c>
      <c r="CD240" s="563">
        <v>0</v>
      </c>
      <c r="CE240" s="563"/>
      <c r="CF240" s="563"/>
      <c r="CG240" s="543"/>
      <c r="CH240" s="557">
        <v>0</v>
      </c>
      <c r="CI240" s="557"/>
      <c r="CJ240" s="558">
        <v>0</v>
      </c>
      <c r="CK240" s="558">
        <v>0</v>
      </c>
      <c r="CL240" s="574">
        <v>0</v>
      </c>
      <c r="CM240" s="544">
        <v>51</v>
      </c>
      <c r="CN240" s="544">
        <v>39</v>
      </c>
      <c r="CP240" s="564">
        <v>31.5</v>
      </c>
      <c r="CQ240" s="564">
        <v>33</v>
      </c>
      <c r="CR240" s="582">
        <v>39930</v>
      </c>
      <c r="CS240" s="540">
        <v>39960</v>
      </c>
      <c r="CT240" s="565">
        <v>29</v>
      </c>
      <c r="CU240" s="566">
        <v>39974</v>
      </c>
      <c r="CV240" s="567">
        <v>0</v>
      </c>
      <c r="CW240" s="540"/>
      <c r="CX240" s="567">
        <v>0</v>
      </c>
      <c r="CY240" s="567">
        <v>0</v>
      </c>
      <c r="CZ240" s="567">
        <v>0</v>
      </c>
      <c r="DA240" s="540"/>
      <c r="DB240" s="567">
        <v>0</v>
      </c>
      <c r="DC240" s="540"/>
      <c r="DD240" s="567">
        <v>0</v>
      </c>
      <c r="DE240" s="540"/>
      <c r="DF240" s="567">
        <v>0</v>
      </c>
      <c r="DG240" s="540"/>
      <c r="DH240" s="540"/>
      <c r="DI240" s="543"/>
      <c r="DJ240" s="583">
        <v>0</v>
      </c>
      <c r="DK240" s="543"/>
      <c r="DL240" s="543"/>
      <c r="DM240" s="543"/>
      <c r="DN240" s="543"/>
      <c r="DO240" s="543"/>
      <c r="DP240" s="543"/>
      <c r="DQ240" s="543"/>
      <c r="DR240" s="543"/>
      <c r="DS240" s="543"/>
      <c r="DT240" s="543"/>
      <c r="DU240" s="543"/>
      <c r="DV240" s="571" t="b">
        <v>0</v>
      </c>
      <c r="DW240" s="557"/>
      <c r="DX240" s="557"/>
      <c r="DY240" s="557"/>
      <c r="DZ240" s="557"/>
      <c r="EA240" s="557"/>
      <c r="EB240" s="557"/>
      <c r="EC240" s="557"/>
      <c r="ED240" s="557"/>
      <c r="EE240" s="557"/>
      <c r="EF240" s="557"/>
      <c r="EG240" s="557"/>
      <c r="EH240" s="557"/>
      <c r="EI240" s="557"/>
    </row>
    <row r="241" spans="1:139" s="544" customFormat="1" ht="39.75" customHeight="1">
      <c r="A241" s="539">
        <v>470</v>
      </c>
      <c r="B241" s="540">
        <v>39897</v>
      </c>
      <c r="C241" s="541">
        <v>39897.305555555555</v>
      </c>
      <c r="D241" s="542">
        <v>22346473</v>
      </c>
      <c r="E241" s="543" t="s">
        <v>1084</v>
      </c>
      <c r="F241" s="544" t="b">
        <v>1</v>
      </c>
      <c r="H241" s="543" t="s">
        <v>441</v>
      </c>
      <c r="I241" s="543" t="s">
        <v>1085</v>
      </c>
      <c r="J241" s="570">
        <v>32.863013698630134</v>
      </c>
      <c r="K241" s="546">
        <v>394.31295200525966</v>
      </c>
      <c r="L241" s="543" t="s">
        <v>493</v>
      </c>
      <c r="M241" s="547" t="s">
        <v>1086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v>0</v>
      </c>
      <c r="AK241" s="552">
        <f t="shared" si="6"/>
        <v>0</v>
      </c>
      <c r="AL241" s="553"/>
      <c r="AM241" s="554">
        <v>39884</v>
      </c>
      <c r="AN241" s="549" t="s">
        <v>1536</v>
      </c>
      <c r="AO241" s="555">
        <v>39917</v>
      </c>
      <c r="AP241" s="539" t="s">
        <v>2086</v>
      </c>
      <c r="AQ241" s="554">
        <v>39884</v>
      </c>
      <c r="AR241" s="549">
        <v>0</v>
      </c>
      <c r="AS241" s="549"/>
      <c r="AT241" s="552">
        <v>0</v>
      </c>
      <c r="AU241" s="549">
        <v>1</v>
      </c>
      <c r="AV241" s="549">
        <v>0</v>
      </c>
      <c r="AW241" s="549">
        <v>1</v>
      </c>
      <c r="AX241" s="574" t="s">
        <v>1087</v>
      </c>
      <c r="AY241" s="543"/>
      <c r="AZ241" s="574" t="s">
        <v>1503</v>
      </c>
      <c r="BA241" s="544">
        <v>0</v>
      </c>
      <c r="BB241" s="558">
        <v>1</v>
      </c>
      <c r="BC241" s="558"/>
      <c r="BD241" s="558">
        <v>0</v>
      </c>
      <c r="BE241" s="558">
        <v>0</v>
      </c>
      <c r="BF241" s="559">
        <v>1</v>
      </c>
      <c r="BG241" s="771">
        <v>0</v>
      </c>
      <c r="BH241" s="771"/>
      <c r="BI241" s="579">
        <v>1</v>
      </c>
      <c r="BJ241" s="558"/>
      <c r="BK241" s="558">
        <v>0</v>
      </c>
      <c r="BL241" s="558"/>
      <c r="BM241" s="558">
        <v>1</v>
      </c>
      <c r="BN241" s="558" t="s">
        <v>2083</v>
      </c>
      <c r="BO241" s="558">
        <v>1</v>
      </c>
      <c r="BP241" s="558">
        <v>0</v>
      </c>
      <c r="BQ241" s="558">
        <v>0</v>
      </c>
      <c r="BR241" s="558">
        <v>0</v>
      </c>
      <c r="BS241" s="559">
        <v>0</v>
      </c>
      <c r="BT241" s="581" t="s">
        <v>1826</v>
      </c>
      <c r="BU241" s="543"/>
      <c r="BV241" s="543" t="s">
        <v>1826</v>
      </c>
      <c r="BW241" s="543" t="s">
        <v>1826</v>
      </c>
      <c r="BX241" s="563" t="s">
        <v>1826</v>
      </c>
      <c r="BY241" s="563"/>
      <c r="BZ241" s="563"/>
      <c r="CA241" s="557"/>
      <c r="CB241" s="563">
        <v>0</v>
      </c>
      <c r="CC241" s="563">
        <v>0</v>
      </c>
      <c r="CD241" s="563">
        <v>0</v>
      </c>
      <c r="CE241" s="563"/>
      <c r="CF241" s="563"/>
      <c r="CG241" s="543"/>
      <c r="CH241" s="557">
        <v>0</v>
      </c>
      <c r="CI241" s="557"/>
      <c r="CJ241" s="558">
        <v>0</v>
      </c>
      <c r="CK241" s="558">
        <v>0</v>
      </c>
      <c r="CL241" s="574">
        <v>0</v>
      </c>
      <c r="CM241" s="544">
        <v>68</v>
      </c>
      <c r="CN241" s="544">
        <v>40</v>
      </c>
      <c r="CP241" s="564">
        <v>29.6</v>
      </c>
      <c r="CQ241" s="564">
        <v>31.2</v>
      </c>
      <c r="CR241" s="582">
        <v>39885</v>
      </c>
      <c r="CS241" s="540">
        <v>39910</v>
      </c>
      <c r="CT241" s="565">
        <v>13</v>
      </c>
      <c r="CU241" s="566">
        <v>44334</v>
      </c>
      <c r="CV241" s="567">
        <v>0</v>
      </c>
      <c r="CW241" s="540"/>
      <c r="CX241" s="567">
        <v>0</v>
      </c>
      <c r="CY241" s="567">
        <v>0</v>
      </c>
      <c r="CZ241" s="567">
        <v>0</v>
      </c>
      <c r="DA241" s="540"/>
      <c r="DB241" s="567">
        <v>0</v>
      </c>
      <c r="DC241" s="540"/>
      <c r="DD241" s="567">
        <v>0</v>
      </c>
      <c r="DE241" s="540"/>
      <c r="DF241" s="567">
        <v>0</v>
      </c>
      <c r="DG241" s="540"/>
      <c r="DH241" s="540"/>
      <c r="DI241" s="543"/>
      <c r="DJ241" s="583">
        <v>0</v>
      </c>
      <c r="DK241" s="543"/>
      <c r="DL241" s="543"/>
      <c r="DM241" s="543"/>
      <c r="DN241" s="543"/>
      <c r="DO241" s="543"/>
      <c r="DP241" s="543"/>
      <c r="DQ241" s="543"/>
      <c r="DR241" s="543"/>
      <c r="DS241" s="543"/>
      <c r="DT241" s="543"/>
      <c r="DU241" s="543"/>
      <c r="DV241" s="571" t="b">
        <v>0</v>
      </c>
      <c r="DW241" s="557"/>
      <c r="DX241" s="557"/>
      <c r="DY241" s="557"/>
      <c r="DZ241" s="557"/>
      <c r="EA241" s="557"/>
      <c r="EB241" s="557"/>
      <c r="EC241" s="557"/>
      <c r="ED241" s="557"/>
      <c r="EE241" s="557"/>
      <c r="EF241" s="557"/>
      <c r="EG241" s="557"/>
      <c r="EH241" s="557"/>
      <c r="EI241" s="557"/>
    </row>
    <row r="242" spans="1:139" s="544" customFormat="1" ht="39.75" customHeight="1">
      <c r="A242" s="539">
        <v>475</v>
      </c>
      <c r="B242" s="540">
        <v>39805</v>
      </c>
      <c r="C242" s="541">
        <v>39805.760416666664</v>
      </c>
      <c r="D242" s="542">
        <v>11647183</v>
      </c>
      <c r="E242" s="557" t="s">
        <v>1088</v>
      </c>
      <c r="F242" s="544" t="b">
        <v>1</v>
      </c>
      <c r="H242" s="574" t="s">
        <v>441</v>
      </c>
      <c r="I242" s="587" t="s">
        <v>1089</v>
      </c>
      <c r="J242" s="570">
        <v>23.947945205479453</v>
      </c>
      <c r="K242" s="546">
        <v>287.34385272846811</v>
      </c>
      <c r="L242" s="574" t="s">
        <v>442</v>
      </c>
      <c r="M242" s="547" t="s">
        <v>1090</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77">
        <v>0</v>
      </c>
      <c r="AK242" s="552">
        <f t="shared" si="6"/>
        <v>0</v>
      </c>
      <c r="AL242" s="547" t="s">
        <v>2084</v>
      </c>
      <c r="AM242" s="575">
        <v>39804</v>
      </c>
      <c r="AN242" s="574" t="s">
        <v>1525</v>
      </c>
      <c r="AO242" s="555">
        <v>39848</v>
      </c>
      <c r="AP242" s="539" t="s">
        <v>2076</v>
      </c>
      <c r="AQ242" s="575">
        <v>39804</v>
      </c>
      <c r="AR242" s="574">
        <v>0</v>
      </c>
      <c r="AS242" s="574"/>
      <c r="AT242" s="577">
        <v>0</v>
      </c>
      <c r="AU242" s="574">
        <v>1</v>
      </c>
      <c r="AV242" s="574">
        <v>0</v>
      </c>
      <c r="AW242" s="574">
        <v>1</v>
      </c>
      <c r="AX242" s="574" t="s">
        <v>1091</v>
      </c>
      <c r="AY242" s="574"/>
      <c r="AZ242" s="574" t="s">
        <v>1503</v>
      </c>
      <c r="BA242" s="544">
        <v>0</v>
      </c>
      <c r="BB242" s="558">
        <v>1</v>
      </c>
      <c r="BC242" s="558"/>
      <c r="BD242" s="558">
        <v>0</v>
      </c>
      <c r="BE242" s="558">
        <v>0</v>
      </c>
      <c r="BF242" s="559">
        <v>0</v>
      </c>
      <c r="BG242" s="771">
        <v>0</v>
      </c>
      <c r="BH242" s="771"/>
      <c r="BI242" s="573">
        <v>0</v>
      </c>
      <c r="BJ242" s="574"/>
      <c r="BK242" s="574">
        <v>0</v>
      </c>
      <c r="BL242" s="574"/>
      <c r="BM242" s="574">
        <v>0</v>
      </c>
      <c r="BN242" s="574"/>
      <c r="BO242" s="574">
        <v>0</v>
      </c>
      <c r="BP242" s="574">
        <v>0</v>
      </c>
      <c r="BQ242" s="574">
        <v>0</v>
      </c>
      <c r="BR242" s="574">
        <v>0</v>
      </c>
      <c r="BS242" s="562">
        <v>0</v>
      </c>
      <c r="BT242" s="560">
        <v>1</v>
      </c>
      <c r="BU242" s="561" t="s">
        <v>2085</v>
      </c>
      <c r="BV242" s="561">
        <v>0</v>
      </c>
      <c r="BW242" s="561">
        <v>0</v>
      </c>
      <c r="BX242" s="574">
        <v>0</v>
      </c>
      <c r="BY242" s="574"/>
      <c r="BZ242" s="574"/>
      <c r="CA242" s="574"/>
      <c r="CB242" s="574">
        <v>0</v>
      </c>
      <c r="CC242" s="574">
        <v>1</v>
      </c>
      <c r="CD242" s="574">
        <v>0</v>
      </c>
      <c r="CE242" s="574"/>
      <c r="CF242" s="574" t="s">
        <v>1481</v>
      </c>
      <c r="CG242" s="574" t="s">
        <v>2064</v>
      </c>
      <c r="CH242" s="574">
        <v>0</v>
      </c>
      <c r="CI242" s="574"/>
      <c r="CJ242" s="558">
        <v>0</v>
      </c>
      <c r="CK242" s="558">
        <v>0</v>
      </c>
      <c r="CL242" s="574">
        <v>0</v>
      </c>
      <c r="CM242" s="544">
        <v>185</v>
      </c>
      <c r="CN242" s="544">
        <v>173</v>
      </c>
      <c r="CP242" s="564">
        <v>28.2</v>
      </c>
      <c r="CQ242" s="564">
        <v>28.5</v>
      </c>
      <c r="CR242" s="540">
        <v>39805</v>
      </c>
      <c r="CS242" s="540">
        <v>39848</v>
      </c>
      <c r="CT242" s="565">
        <v>43</v>
      </c>
      <c r="CU242" s="566">
        <v>44347</v>
      </c>
      <c r="CV242" s="567">
        <v>0</v>
      </c>
      <c r="CW242" s="540"/>
      <c r="CX242" s="567">
        <v>0</v>
      </c>
      <c r="CY242" s="567">
        <v>0</v>
      </c>
      <c r="CZ242" s="567">
        <v>0</v>
      </c>
      <c r="DA242" s="540"/>
      <c r="DB242" s="567">
        <v>0</v>
      </c>
      <c r="DC242" s="540"/>
      <c r="DD242" s="567">
        <v>0</v>
      </c>
      <c r="DE242" s="540"/>
      <c r="DF242" s="567">
        <v>0</v>
      </c>
      <c r="DG242" s="540"/>
      <c r="DH242" s="540"/>
      <c r="DI242" s="588" t="s">
        <v>986</v>
      </c>
      <c r="DJ242" s="583">
        <v>0</v>
      </c>
      <c r="DK242" s="589"/>
      <c r="DL242" s="589"/>
      <c r="DM242" s="589"/>
      <c r="DN242" s="583"/>
      <c r="DO242" s="583"/>
      <c r="DP242" s="583"/>
      <c r="DQ242" s="583"/>
      <c r="DR242" s="583"/>
      <c r="DS242" s="583"/>
      <c r="DT242" s="583"/>
      <c r="DU242" s="583"/>
      <c r="DV242" s="571" t="b">
        <v>0</v>
      </c>
      <c r="DW242" s="557"/>
      <c r="DX242" s="557"/>
      <c r="DY242" s="557"/>
      <c r="DZ242" s="557"/>
      <c r="EA242" s="557"/>
      <c r="EB242" s="557"/>
      <c r="EC242" s="557"/>
      <c r="ED242" s="557"/>
      <c r="EE242" s="557"/>
      <c r="EF242" s="557"/>
      <c r="EG242" s="557"/>
      <c r="EH242" s="557"/>
      <c r="EI242" s="557"/>
    </row>
    <row r="243" spans="1:139" s="48" customFormat="1" ht="39.75" customHeight="1">
      <c r="A243" s="60">
        <v>476</v>
      </c>
      <c r="B243" s="108">
        <v>39801</v>
      </c>
      <c r="C243" s="62">
        <v>39801.418055555558</v>
      </c>
      <c r="D243" s="141">
        <v>1056562</v>
      </c>
      <c r="E243" s="71" t="s">
        <v>905</v>
      </c>
      <c r="F243" s="48" t="b">
        <v>0</v>
      </c>
      <c r="G243" s="48" t="s">
        <v>1487</v>
      </c>
      <c r="H243" s="138" t="s">
        <v>441</v>
      </c>
      <c r="I243" s="108">
        <v>13380</v>
      </c>
      <c r="J243" s="142">
        <v>72.38630136986302</v>
      </c>
      <c r="K243" s="85">
        <v>868.54043392504923</v>
      </c>
      <c r="L243" s="138" t="s">
        <v>442</v>
      </c>
      <c r="M243" s="495" t="s">
        <v>1092</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497"/>
      <c r="AK243" s="324">
        <f t="shared" si="6"/>
        <v>0</v>
      </c>
      <c r="AL243" s="495"/>
      <c r="AM243" s="498"/>
      <c r="AN243" s="138"/>
      <c r="AO243" s="61"/>
      <c r="AP243" s="143"/>
      <c r="AQ243" s="498"/>
      <c r="AR243" s="138"/>
      <c r="AS243" s="138"/>
      <c r="AT243" s="497"/>
      <c r="AU243" s="138"/>
      <c r="AV243" s="138"/>
      <c r="AW243" s="138"/>
      <c r="AX243" s="138" t="s">
        <v>1093</v>
      </c>
      <c r="AY243" s="138"/>
      <c r="AZ243" s="138">
        <v>1</v>
      </c>
      <c r="BB243" s="82"/>
      <c r="BC243" s="82"/>
      <c r="BD243" s="82"/>
      <c r="BE243" s="82"/>
      <c r="BF243" s="235"/>
      <c r="BG243" s="767"/>
      <c r="BH243" s="767"/>
      <c r="BI243" s="228"/>
      <c r="BJ243" s="138"/>
      <c r="BK243" s="138"/>
      <c r="BL243" s="138"/>
      <c r="BM243" s="138"/>
      <c r="BN243" s="138"/>
      <c r="BO243" s="138"/>
      <c r="BP243" s="138"/>
      <c r="BQ243" s="138"/>
      <c r="BR243" s="138"/>
      <c r="BS243" s="247"/>
      <c r="BT243" s="499" t="s">
        <v>245</v>
      </c>
      <c r="BU243" s="500"/>
      <c r="BV243" s="500"/>
      <c r="BW243" s="500"/>
      <c r="BX243" s="138"/>
      <c r="BY243" s="138"/>
      <c r="BZ243" s="138"/>
      <c r="CA243" s="138"/>
      <c r="CB243" s="138"/>
      <c r="CC243" s="138"/>
      <c r="CD243" s="138"/>
      <c r="CE243" s="138"/>
      <c r="CF243" s="138">
        <v>1</v>
      </c>
      <c r="CG243" s="138"/>
      <c r="CH243" s="138"/>
      <c r="CI243" s="138"/>
      <c r="CJ243" s="82">
        <v>0</v>
      </c>
      <c r="CK243" s="82">
        <v>0</v>
      </c>
      <c r="CL243" s="138"/>
      <c r="CP243" s="505"/>
      <c r="CQ243" s="505"/>
      <c r="CR243" s="108">
        <v>39793</v>
      </c>
      <c r="CS243" s="108">
        <v>39819</v>
      </c>
      <c r="CT243" s="83">
        <v>18</v>
      </c>
      <c r="CU243" s="84"/>
      <c r="CV243" s="109"/>
      <c r="CW243" s="108"/>
      <c r="CX243" s="109"/>
      <c r="CY243" s="109"/>
      <c r="CZ243" s="109"/>
      <c r="DA243" s="108"/>
      <c r="DB243" s="109"/>
      <c r="DC243" s="108"/>
      <c r="DD243" s="109"/>
      <c r="DE243" s="108"/>
      <c r="DF243" s="109"/>
      <c r="DG243" s="108"/>
      <c r="DH243" s="108"/>
      <c r="DI243" s="146"/>
      <c r="DJ243" s="82">
        <v>1</v>
      </c>
      <c r="DK243" s="155">
        <v>39.480604865220251</v>
      </c>
      <c r="DL243" s="148"/>
      <c r="DM243" s="82" t="b">
        <v>1</v>
      </c>
      <c r="DN243" s="148">
        <v>41002</v>
      </c>
      <c r="DO243" s="529" t="s">
        <v>1094</v>
      </c>
      <c r="DP243" s="147"/>
      <c r="DQ243" s="147"/>
      <c r="DR243" s="147"/>
      <c r="DS243" s="147"/>
      <c r="DT243" s="147"/>
      <c r="DU243" s="147"/>
      <c r="DV243" s="143" t="s">
        <v>1095</v>
      </c>
      <c r="DW243" s="71"/>
      <c r="DX243" s="71"/>
      <c r="DY243" s="71"/>
      <c r="DZ243" s="71"/>
      <c r="EA243" s="71"/>
      <c r="EB243" s="71"/>
      <c r="EC243" s="71"/>
      <c r="ED243" s="71"/>
      <c r="EE243" s="71"/>
      <c r="EF243" s="71"/>
      <c r="EG243" s="71"/>
      <c r="EH243" s="71"/>
      <c r="EI243" s="71"/>
    </row>
    <row r="244" spans="1:139" s="196" customFormat="1" ht="39.75" customHeight="1">
      <c r="A244" s="90">
        <v>478</v>
      </c>
      <c r="B244" s="320">
        <v>39783</v>
      </c>
      <c r="C244" s="194">
        <v>39783.479166666664</v>
      </c>
      <c r="D244" s="568">
        <v>11593879</v>
      </c>
      <c r="E244" s="201" t="s">
        <v>1096</v>
      </c>
      <c r="F244" s="196" t="s">
        <v>1590</v>
      </c>
      <c r="G244" s="196" t="s">
        <v>1730</v>
      </c>
      <c r="H244" s="510" t="s">
        <v>418</v>
      </c>
      <c r="I244" s="320">
        <v>23517</v>
      </c>
      <c r="J244" s="590">
        <v>44.564383561643837</v>
      </c>
      <c r="K244" s="197">
        <v>534.71400394477314</v>
      </c>
      <c r="L244" s="510" t="s">
        <v>493</v>
      </c>
      <c r="M244" s="512" t="s">
        <v>1097</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514"/>
      <c r="AK244" s="326">
        <f t="shared" si="6"/>
        <v>0</v>
      </c>
      <c r="AL244" s="512"/>
      <c r="AM244" s="515"/>
      <c r="AN244" s="510"/>
      <c r="AO244" s="88"/>
      <c r="AP244" s="516"/>
      <c r="AQ244" s="515"/>
      <c r="AR244" s="510"/>
      <c r="AS244" s="510"/>
      <c r="AT244" s="514"/>
      <c r="AU244" s="510"/>
      <c r="AV244" s="510"/>
      <c r="AW244" s="510"/>
      <c r="AX244" s="510" t="s">
        <v>1098</v>
      </c>
      <c r="AY244" s="510"/>
      <c r="AZ244" s="510"/>
      <c r="BB244" s="203"/>
      <c r="BC244" s="203"/>
      <c r="BD244" s="203"/>
      <c r="BE244" s="203"/>
      <c r="BF244" s="236"/>
      <c r="BG244" s="768"/>
      <c r="BH244" s="768"/>
      <c r="BI244" s="591"/>
      <c r="BJ244" s="510"/>
      <c r="BK244" s="510"/>
      <c r="BL244" s="510"/>
      <c r="BM244" s="510"/>
      <c r="BN244" s="510"/>
      <c r="BO244" s="510"/>
      <c r="BP244" s="510"/>
      <c r="BQ244" s="510"/>
      <c r="BR244" s="510"/>
      <c r="BS244" s="474"/>
      <c r="BT244" s="591" t="s">
        <v>174</v>
      </c>
      <c r="BU244" s="510"/>
      <c r="BV244" s="510"/>
      <c r="BW244" s="510"/>
      <c r="BX244" s="510"/>
      <c r="BY244" s="510"/>
      <c r="BZ244" s="510"/>
      <c r="CA244" s="510"/>
      <c r="CB244" s="510"/>
      <c r="CC244" s="510"/>
      <c r="CD244" s="510"/>
      <c r="CE244" s="510"/>
      <c r="CF244" s="510">
        <v>1</v>
      </c>
      <c r="CG244" s="510"/>
      <c r="CH244" s="510"/>
      <c r="CI244" s="510"/>
      <c r="CJ244" s="203">
        <v>0</v>
      </c>
      <c r="CK244" s="203">
        <v>0</v>
      </c>
      <c r="CL244" s="510"/>
      <c r="CP244" s="506"/>
      <c r="CQ244" s="506"/>
      <c r="CR244" s="320">
        <v>39777</v>
      </c>
      <c r="CS244" s="320">
        <v>39797</v>
      </c>
      <c r="CT244" s="205">
        <v>14</v>
      </c>
      <c r="CU244" s="206"/>
      <c r="CV244" s="520"/>
      <c r="CW244" s="320"/>
      <c r="CX244" s="520"/>
      <c r="CY244" s="520"/>
      <c r="CZ244" s="520"/>
      <c r="DA244" s="320"/>
      <c r="DB244" s="520"/>
      <c r="DC244" s="320"/>
      <c r="DD244" s="520"/>
      <c r="DE244" s="320"/>
      <c r="DF244" s="520"/>
      <c r="DG244" s="320"/>
      <c r="DH244" s="320"/>
      <c r="DI244" s="592"/>
      <c r="DJ244" s="593">
        <v>0</v>
      </c>
      <c r="DK244" s="594"/>
      <c r="DL244" s="594"/>
      <c r="DM244" s="594"/>
      <c r="DN244" s="593"/>
      <c r="DO244" s="593"/>
      <c r="DP244" s="593"/>
      <c r="DQ244" s="593"/>
      <c r="DR244" s="593"/>
      <c r="DS244" s="593"/>
      <c r="DT244" s="593"/>
      <c r="DU244" s="593"/>
      <c r="DV244" s="516" t="s">
        <v>1095</v>
      </c>
      <c r="DW244" s="201"/>
      <c r="DX244" s="201"/>
      <c r="DY244" s="201"/>
      <c r="DZ244" s="201"/>
      <c r="EA244" s="201"/>
      <c r="EB244" s="201"/>
      <c r="EC244" s="201"/>
      <c r="ED244" s="201"/>
      <c r="EE244" s="201"/>
      <c r="EF244" s="201"/>
      <c r="EG244" s="201"/>
      <c r="EH244" s="201"/>
      <c r="EI244" s="201"/>
    </row>
    <row r="245" spans="1:139" s="544" customFormat="1" ht="39.75" customHeight="1">
      <c r="A245" s="539">
        <v>481</v>
      </c>
      <c r="B245" s="540">
        <v>39738</v>
      </c>
      <c r="C245" s="541">
        <v>39738.34375</v>
      </c>
      <c r="D245" s="542">
        <v>21958280</v>
      </c>
      <c r="E245" s="557" t="s">
        <v>1099</v>
      </c>
      <c r="F245" s="544" t="b">
        <v>1</v>
      </c>
      <c r="H245" s="574" t="s">
        <v>418</v>
      </c>
      <c r="I245" s="587" t="s">
        <v>1100</v>
      </c>
      <c r="J245" s="570">
        <v>66.953424657534242</v>
      </c>
      <c r="K245" s="546">
        <v>803.35305719921098</v>
      </c>
      <c r="L245" s="574" t="s">
        <v>500</v>
      </c>
      <c r="M245" s="547" t="s">
        <v>1101</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77">
        <v>0</v>
      </c>
      <c r="AK245" s="552">
        <f t="shared" si="6"/>
        <v>0</v>
      </c>
      <c r="AL245" s="547"/>
      <c r="AM245" s="575">
        <v>39727</v>
      </c>
      <c r="AN245" s="574" t="s">
        <v>1607</v>
      </c>
      <c r="AO245" s="555">
        <v>39769</v>
      </c>
      <c r="AP245" s="571" t="s">
        <v>1531</v>
      </c>
      <c r="AQ245" s="575">
        <v>39714</v>
      </c>
      <c r="AR245" s="574">
        <v>1</v>
      </c>
      <c r="AS245" s="574" t="s">
        <v>2087</v>
      </c>
      <c r="AT245" s="577">
        <v>0</v>
      </c>
      <c r="AU245" s="574">
        <v>1</v>
      </c>
      <c r="AV245" s="574">
        <v>0</v>
      </c>
      <c r="AW245" s="574">
        <v>1</v>
      </c>
      <c r="AX245" s="574" t="s">
        <v>1102</v>
      </c>
      <c r="AY245" s="574" t="s">
        <v>1503</v>
      </c>
      <c r="AZ245" s="574" t="s">
        <v>1747</v>
      </c>
      <c r="BA245" s="544">
        <v>0</v>
      </c>
      <c r="BB245" s="558">
        <v>1</v>
      </c>
      <c r="BC245" s="558"/>
      <c r="BD245" s="558">
        <v>0</v>
      </c>
      <c r="BE245" s="558">
        <v>0</v>
      </c>
      <c r="BF245" s="559">
        <v>0</v>
      </c>
      <c r="BG245" s="771">
        <v>0</v>
      </c>
      <c r="BH245" s="771"/>
      <c r="BI245" s="573">
        <v>0</v>
      </c>
      <c r="BJ245" s="574"/>
      <c r="BK245" s="574">
        <v>0</v>
      </c>
      <c r="BL245" s="574"/>
      <c r="BM245" s="574">
        <v>0</v>
      </c>
      <c r="BN245" s="574"/>
      <c r="BO245" s="574">
        <v>0</v>
      </c>
      <c r="BP245" s="574">
        <v>0</v>
      </c>
      <c r="BQ245" s="574">
        <v>0</v>
      </c>
      <c r="BR245" s="574">
        <v>0</v>
      </c>
      <c r="BS245" s="562">
        <v>0</v>
      </c>
      <c r="BT245" s="573">
        <v>1</v>
      </c>
      <c r="BU245" s="574" t="s">
        <v>1636</v>
      </c>
      <c r="BV245" s="574">
        <v>0</v>
      </c>
      <c r="BW245" s="574">
        <v>0</v>
      </c>
      <c r="BX245" s="574">
        <v>0</v>
      </c>
      <c r="BY245" s="574"/>
      <c r="BZ245" s="574"/>
      <c r="CA245" s="574"/>
      <c r="CB245" s="574">
        <v>0</v>
      </c>
      <c r="CC245" s="574">
        <v>0</v>
      </c>
      <c r="CD245" s="574">
        <v>0</v>
      </c>
      <c r="CE245" s="574"/>
      <c r="CF245" s="574"/>
      <c r="CG245" s="574"/>
      <c r="CH245" s="574">
        <v>1</v>
      </c>
      <c r="CI245" s="574" t="s">
        <v>2088</v>
      </c>
      <c r="CJ245" s="558">
        <v>0</v>
      </c>
      <c r="CK245" s="558">
        <v>0</v>
      </c>
      <c r="CL245" s="574">
        <v>0</v>
      </c>
      <c r="CM245" s="544">
        <v>213</v>
      </c>
      <c r="CN245" s="544">
        <f>44+79</f>
        <v>123</v>
      </c>
      <c r="CP245" s="564">
        <v>26</v>
      </c>
      <c r="CQ245" s="564">
        <v>27</v>
      </c>
      <c r="CR245" s="540">
        <v>39686</v>
      </c>
      <c r="CS245" s="540">
        <v>39781</v>
      </c>
      <c r="CT245" s="565">
        <v>43</v>
      </c>
      <c r="CU245" s="566">
        <v>39890</v>
      </c>
      <c r="CV245" s="567">
        <v>1</v>
      </c>
      <c r="CW245" s="566">
        <v>39890</v>
      </c>
      <c r="CX245" s="567">
        <v>0</v>
      </c>
      <c r="CY245" s="567">
        <v>0</v>
      </c>
      <c r="CZ245" s="567">
        <v>1</v>
      </c>
      <c r="DA245" s="540" t="s">
        <v>2089</v>
      </c>
      <c r="DB245" s="567">
        <v>0</v>
      </c>
      <c r="DC245" s="540"/>
      <c r="DD245" s="567">
        <v>0</v>
      </c>
      <c r="DE245" s="540"/>
      <c r="DF245" s="567">
        <v>0</v>
      </c>
      <c r="DG245" s="540"/>
      <c r="DH245" s="540"/>
      <c r="DI245" s="588"/>
      <c r="DJ245" s="595">
        <v>1</v>
      </c>
      <c r="DK245" s="570">
        <v>4.9967126890203808</v>
      </c>
      <c r="DL245" s="589"/>
      <c r="DM245" s="583" t="b">
        <v>1</v>
      </c>
      <c r="DN245" s="589">
        <v>39890</v>
      </c>
      <c r="DO245" s="557" t="s">
        <v>1103</v>
      </c>
      <c r="DP245" s="583"/>
      <c r="DQ245" s="583"/>
      <c r="DR245" s="583"/>
      <c r="DS245" s="583"/>
      <c r="DT245" s="583"/>
      <c r="DU245" s="583"/>
      <c r="DV245" s="571" t="b">
        <v>0</v>
      </c>
      <c r="DW245" s="557"/>
      <c r="DX245" s="557"/>
      <c r="DY245" s="557"/>
      <c r="DZ245" s="557"/>
      <c r="EA245" s="557"/>
      <c r="EB245" s="557"/>
      <c r="EC245" s="557"/>
      <c r="ED245" s="557"/>
      <c r="EE245" s="557"/>
      <c r="EF245" s="557"/>
      <c r="EG245" s="557"/>
      <c r="EH245" s="557"/>
      <c r="EI245" s="557"/>
    </row>
    <row r="246" spans="1:139" s="544" customFormat="1" ht="39.75" customHeight="1">
      <c r="A246" s="539">
        <v>487</v>
      </c>
      <c r="B246" s="540">
        <v>39658</v>
      </c>
      <c r="C246" s="541">
        <v>39658.788194444445</v>
      </c>
      <c r="D246" s="542">
        <v>21832652</v>
      </c>
      <c r="E246" s="557" t="s">
        <v>1104</v>
      </c>
      <c r="F246" s="544" t="b">
        <v>1</v>
      </c>
      <c r="H246" s="574" t="s">
        <v>418</v>
      </c>
      <c r="I246" s="587" t="s">
        <v>1105</v>
      </c>
      <c r="J246" s="570">
        <v>38.441095890410956</v>
      </c>
      <c r="K246" s="546">
        <v>461.24260355029583</v>
      </c>
      <c r="L246" s="574" t="s">
        <v>442</v>
      </c>
      <c r="M246" s="547" t="s">
        <v>1106</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v>0</v>
      </c>
      <c r="AK246" s="552">
        <f t="shared" si="6"/>
        <v>0</v>
      </c>
      <c r="AL246" s="553"/>
      <c r="AM246" s="554">
        <v>39658</v>
      </c>
      <c r="AN246" s="549" t="s">
        <v>2090</v>
      </c>
      <c r="AO246" s="555">
        <v>39709</v>
      </c>
      <c r="AP246" s="539" t="s">
        <v>1107</v>
      </c>
      <c r="AQ246" s="554">
        <v>39658</v>
      </c>
      <c r="AR246" s="549">
        <v>1</v>
      </c>
      <c r="AS246" s="549" t="s">
        <v>1108</v>
      </c>
      <c r="AT246" s="552">
        <v>0</v>
      </c>
      <c r="AU246" s="549">
        <v>1</v>
      </c>
      <c r="AV246" s="549">
        <v>0</v>
      </c>
      <c r="AW246" s="549">
        <v>0</v>
      </c>
      <c r="AX246" s="574" t="s">
        <v>1109</v>
      </c>
      <c r="AY246" s="574"/>
      <c r="AZ246" s="574" t="s">
        <v>1503</v>
      </c>
      <c r="BA246" s="544">
        <v>0</v>
      </c>
      <c r="BB246" s="558">
        <v>1</v>
      </c>
      <c r="BC246" s="558"/>
      <c r="BD246" s="558">
        <v>1</v>
      </c>
      <c r="BE246" s="558">
        <v>0</v>
      </c>
      <c r="BF246" s="559">
        <v>0</v>
      </c>
      <c r="BG246" s="771">
        <v>0</v>
      </c>
      <c r="BH246" s="771"/>
      <c r="BI246" s="573">
        <v>1</v>
      </c>
      <c r="BJ246" s="574"/>
      <c r="BK246" s="574">
        <v>1</v>
      </c>
      <c r="BL246" s="574" t="s">
        <v>2004</v>
      </c>
      <c r="BM246" s="574">
        <v>1</v>
      </c>
      <c r="BN246" s="574" t="s">
        <v>2091</v>
      </c>
      <c r="BO246" s="574">
        <v>0</v>
      </c>
      <c r="BP246" s="574">
        <v>0</v>
      </c>
      <c r="BQ246" s="574">
        <v>0</v>
      </c>
      <c r="BR246" s="574">
        <v>0</v>
      </c>
      <c r="BS246" s="562">
        <v>1</v>
      </c>
      <c r="BT246" s="573">
        <v>0</v>
      </c>
      <c r="BU246" s="574"/>
      <c r="BV246" s="574">
        <v>0</v>
      </c>
      <c r="BW246" s="574">
        <v>0</v>
      </c>
      <c r="BX246" s="574">
        <v>0</v>
      </c>
      <c r="BY246" s="574"/>
      <c r="BZ246" s="574"/>
      <c r="CA246" s="557"/>
      <c r="CB246" s="578">
        <v>0</v>
      </c>
      <c r="CC246" s="578">
        <v>0</v>
      </c>
      <c r="CD246" s="578">
        <v>0</v>
      </c>
      <c r="CE246" s="578"/>
      <c r="CF246" s="578"/>
      <c r="CG246" s="574"/>
      <c r="CH246" s="574">
        <v>0</v>
      </c>
      <c r="CI246" s="574"/>
      <c r="CJ246" s="558">
        <v>0</v>
      </c>
      <c r="CK246" s="558">
        <v>0</v>
      </c>
      <c r="CL246" s="574">
        <v>0</v>
      </c>
      <c r="CM246" s="544">
        <v>130</v>
      </c>
      <c r="CN246" s="544">
        <v>109</v>
      </c>
      <c r="CP246" s="564">
        <v>29</v>
      </c>
      <c r="CQ246" s="564">
        <v>30.2</v>
      </c>
      <c r="CR246" s="540">
        <v>39658</v>
      </c>
      <c r="CS246" s="540">
        <v>39709</v>
      </c>
      <c r="CT246" s="565">
        <v>51</v>
      </c>
      <c r="CU246" s="566">
        <v>44291</v>
      </c>
      <c r="CV246" s="567">
        <v>0</v>
      </c>
      <c r="CW246" s="540"/>
      <c r="CX246" s="567">
        <v>0</v>
      </c>
      <c r="CY246" s="567">
        <v>0</v>
      </c>
      <c r="CZ246" s="567">
        <v>0</v>
      </c>
      <c r="DA246" s="540"/>
      <c r="DB246" s="567">
        <v>0</v>
      </c>
      <c r="DC246" s="540"/>
      <c r="DD246" s="567">
        <v>0</v>
      </c>
      <c r="DE246" s="540"/>
      <c r="DF246" s="567">
        <v>1</v>
      </c>
      <c r="DG246" s="540">
        <v>39910</v>
      </c>
      <c r="DH246" s="540" t="s">
        <v>1110</v>
      </c>
      <c r="DI246" s="588" t="s">
        <v>986</v>
      </c>
      <c r="DJ246" s="583">
        <v>0</v>
      </c>
      <c r="DK246" s="589"/>
      <c r="DL246" s="589"/>
      <c r="DM246" s="589"/>
      <c r="DN246" s="583"/>
      <c r="DO246" s="583"/>
      <c r="DP246" s="583"/>
      <c r="DQ246" s="583"/>
      <c r="DR246" s="583"/>
      <c r="DS246" s="583"/>
      <c r="DT246" s="583"/>
      <c r="DU246" s="583"/>
      <c r="DV246" s="571" t="s">
        <v>1095</v>
      </c>
      <c r="DW246" s="540">
        <v>39910</v>
      </c>
      <c r="DX246" s="596" t="s">
        <v>1111</v>
      </c>
      <c r="DY246" s="596" t="s">
        <v>1112</v>
      </c>
      <c r="DZ246" s="557"/>
      <c r="EA246" s="557"/>
      <c r="EB246" s="557"/>
      <c r="EC246" s="557"/>
      <c r="ED246" s="557"/>
      <c r="EE246" s="557"/>
      <c r="EF246" s="557"/>
      <c r="EG246" s="557"/>
      <c r="EH246" s="557"/>
      <c r="EI246" s="557"/>
    </row>
    <row r="247" spans="1:139" s="48" customFormat="1" ht="39.75" customHeight="1">
      <c r="A247" s="60">
        <v>492</v>
      </c>
      <c r="B247" s="108">
        <v>39619</v>
      </c>
      <c r="C247" s="62">
        <v>39619.340277777781</v>
      </c>
      <c r="D247" s="141">
        <v>3497954</v>
      </c>
      <c r="E247" s="71" t="s">
        <v>1113</v>
      </c>
      <c r="F247" s="48" t="b">
        <v>0</v>
      </c>
      <c r="G247" s="48" t="s">
        <v>1558</v>
      </c>
      <c r="H247" s="138" t="s">
        <v>418</v>
      </c>
      <c r="I247" s="134" t="s">
        <v>1114</v>
      </c>
      <c r="J247" s="142">
        <v>51.452054794520549</v>
      </c>
      <c r="K247" s="85">
        <v>617.35700197238657</v>
      </c>
      <c r="L247" s="138" t="s">
        <v>493</v>
      </c>
      <c r="M247" s="495" t="s">
        <v>1115</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c r="AK247" s="324">
        <f t="shared" si="6"/>
        <v>1</v>
      </c>
      <c r="AL247" s="187"/>
      <c r="AM247" s="191"/>
      <c r="AN247" s="51"/>
      <c r="AO247" s="61"/>
      <c r="AP247" s="60"/>
      <c r="AQ247" s="191"/>
      <c r="AR247" s="51"/>
      <c r="AS247" s="51"/>
      <c r="AT247" s="324"/>
      <c r="AU247" s="51"/>
      <c r="AV247" s="51"/>
      <c r="AW247" s="51"/>
      <c r="AX247" s="138" t="s">
        <v>1116</v>
      </c>
      <c r="AY247" s="138"/>
      <c r="AZ247" s="138">
        <v>1</v>
      </c>
      <c r="BB247" s="82"/>
      <c r="BC247" s="82" t="e">
        <v>#REF!</v>
      </c>
      <c r="BD247" s="82"/>
      <c r="BE247" s="82"/>
      <c r="BF247" s="235"/>
      <c r="BG247" s="767"/>
      <c r="BH247" s="767"/>
      <c r="BI247" s="228">
        <v>1</v>
      </c>
      <c r="BJ247" s="138"/>
      <c r="BK247" s="138"/>
      <c r="BL247" s="138"/>
      <c r="BM247" s="138"/>
      <c r="BN247" s="138"/>
      <c r="BO247" s="138"/>
      <c r="BP247" s="138"/>
      <c r="BQ247" s="138"/>
      <c r="BR247" s="138"/>
      <c r="BS247" s="249" t="s">
        <v>148</v>
      </c>
      <c r="BT247" s="228"/>
      <c r="BU247" s="138"/>
      <c r="BV247" s="138"/>
      <c r="BW247" s="138"/>
      <c r="BX247" s="138"/>
      <c r="BY247" s="138"/>
      <c r="BZ247" s="138"/>
      <c r="CA247" s="71" t="e">
        <v>#REF!</v>
      </c>
      <c r="CB247" s="144"/>
      <c r="CC247" s="144"/>
      <c r="CD247" s="144"/>
      <c r="CE247" s="144"/>
      <c r="CF247" s="144">
        <v>1</v>
      </c>
      <c r="CG247" s="138"/>
      <c r="CH247" s="138"/>
      <c r="CI247" s="138"/>
      <c r="CJ247" s="82">
        <v>0</v>
      </c>
      <c r="CK247" s="145">
        <v>1</v>
      </c>
      <c r="CL247" s="138"/>
      <c r="CP247" s="505"/>
      <c r="CQ247" s="505"/>
      <c r="CR247" s="108">
        <v>39616</v>
      </c>
      <c r="CS247" s="108">
        <v>39634</v>
      </c>
      <c r="CT247" s="83">
        <v>15</v>
      </c>
      <c r="CU247" s="84"/>
      <c r="CV247" s="109"/>
      <c r="CW247" s="108"/>
      <c r="CX247" s="109"/>
      <c r="CY247" s="109"/>
      <c r="CZ247" s="109"/>
      <c r="DA247" s="108"/>
      <c r="DB247" s="109"/>
      <c r="DC247" s="108"/>
      <c r="DD247" s="109"/>
      <c r="DE247" s="108"/>
      <c r="DF247" s="109"/>
      <c r="DG247" s="108"/>
      <c r="DH247" s="87" t="s">
        <v>220</v>
      </c>
      <c r="DI247" s="146"/>
      <c r="DJ247" s="147">
        <v>0</v>
      </c>
      <c r="DK247" s="148"/>
      <c r="DL247" s="148"/>
      <c r="DM247" s="148"/>
      <c r="DN247" s="147"/>
      <c r="DO247" s="147"/>
      <c r="DP247" s="147"/>
      <c r="DQ247" s="147"/>
      <c r="DR247" s="147"/>
      <c r="DS247" s="147"/>
      <c r="DT247" s="147"/>
      <c r="DU247" s="147"/>
      <c r="DV247" s="143" t="b">
        <v>0</v>
      </c>
      <c r="DW247" s="71"/>
      <c r="DX247" s="71"/>
      <c r="DY247" s="71"/>
      <c r="DZ247" s="71"/>
      <c r="EA247" s="71"/>
      <c r="EB247" s="71"/>
      <c r="EC247" s="71"/>
      <c r="ED247" s="71"/>
      <c r="EE247" s="71"/>
      <c r="EF247" s="71"/>
      <c r="EG247" s="71"/>
      <c r="EH247" s="71"/>
      <c r="EI247" s="71"/>
    </row>
    <row r="248" spans="1:139" s="48" customFormat="1" ht="39.75" customHeight="1">
      <c r="A248" s="60">
        <v>494</v>
      </c>
      <c r="B248" s="108">
        <v>39582</v>
      </c>
      <c r="C248" s="62">
        <v>39582.298611111109</v>
      </c>
      <c r="D248" s="141">
        <v>21218582</v>
      </c>
      <c r="E248" s="71" t="s">
        <v>1117</v>
      </c>
      <c r="F248" s="48" t="b">
        <v>0</v>
      </c>
      <c r="G248" s="48" t="s">
        <v>1558</v>
      </c>
      <c r="H248" s="138" t="s">
        <v>418</v>
      </c>
      <c r="I248" s="134" t="s">
        <v>1118</v>
      </c>
      <c r="J248" s="142">
        <v>28.147945205479452</v>
      </c>
      <c r="K248" s="85">
        <v>337.73833004602233</v>
      </c>
      <c r="L248" s="138" t="s">
        <v>493</v>
      </c>
      <c r="M248" s="495" t="s">
        <v>1054</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c r="AK248" s="324">
        <f t="shared" si="6"/>
        <v>0</v>
      </c>
      <c r="AL248" s="187"/>
      <c r="AM248" s="191"/>
      <c r="AN248" s="51"/>
      <c r="AO248" s="61"/>
      <c r="AP248" s="60"/>
      <c r="AQ248" s="191"/>
      <c r="AR248" s="51"/>
      <c r="AS248" s="51"/>
      <c r="AT248" s="324"/>
      <c r="AU248" s="51"/>
      <c r="AV248" s="51"/>
      <c r="AW248" s="51"/>
      <c r="AX248" s="138" t="s">
        <v>1119</v>
      </c>
      <c r="AY248" s="138"/>
      <c r="AZ248" s="138">
        <v>1</v>
      </c>
      <c r="BB248" s="82"/>
      <c r="BC248" s="82" t="e">
        <v>#REF!</v>
      </c>
      <c r="BD248" s="82"/>
      <c r="BE248" s="82"/>
      <c r="BF248" s="235"/>
      <c r="BG248" s="767"/>
      <c r="BH248" s="767"/>
      <c r="BI248" s="228">
        <v>1</v>
      </c>
      <c r="BJ248" s="138"/>
      <c r="BK248" s="138"/>
      <c r="BL248" s="138"/>
      <c r="BM248" s="138"/>
      <c r="BN248" s="138"/>
      <c r="BO248" s="138"/>
      <c r="BP248" s="138"/>
      <c r="BQ248" s="138"/>
      <c r="BR248" s="138"/>
      <c r="BS248" s="249" t="s">
        <v>148</v>
      </c>
      <c r="BT248" s="228"/>
      <c r="BU248" s="138"/>
      <c r="BV248" s="138"/>
      <c r="BW248" s="138"/>
      <c r="BX248" s="138"/>
      <c r="BY248" s="138"/>
      <c r="BZ248" s="138"/>
      <c r="CA248" s="71" t="e">
        <v>#REF!</v>
      </c>
      <c r="CB248" s="144"/>
      <c r="CC248" s="144"/>
      <c r="CD248" s="144"/>
      <c r="CE248" s="144"/>
      <c r="CF248" s="144"/>
      <c r="CG248" s="138"/>
      <c r="CH248" s="138"/>
      <c r="CI248" s="138"/>
      <c r="CJ248" s="82">
        <v>0</v>
      </c>
      <c r="CK248" s="82">
        <v>0</v>
      </c>
      <c r="CL248" s="138"/>
      <c r="CP248" s="505"/>
      <c r="CQ248" s="505"/>
      <c r="CR248" s="108">
        <v>39580</v>
      </c>
      <c r="CS248" s="108">
        <v>39589</v>
      </c>
      <c r="CT248" s="83">
        <v>7</v>
      </c>
      <c r="CU248" s="84"/>
      <c r="CV248" s="109"/>
      <c r="CW248" s="108"/>
      <c r="CX248" s="109"/>
      <c r="CY248" s="109"/>
      <c r="CZ248" s="109"/>
      <c r="DA248" s="108"/>
      <c r="DB248" s="109"/>
      <c r="DC248" s="108"/>
      <c r="DD248" s="109"/>
      <c r="DE248" s="108"/>
      <c r="DF248" s="109"/>
      <c r="DG248" s="108"/>
      <c r="DH248" s="87" t="s">
        <v>220</v>
      </c>
      <c r="DI248" s="146"/>
      <c r="DJ248" s="147">
        <v>0</v>
      </c>
      <c r="DK248" s="148"/>
      <c r="DL248" s="148"/>
      <c r="DM248" s="148"/>
      <c r="DN248" s="147"/>
      <c r="DO248" s="147"/>
      <c r="DP248" s="147"/>
      <c r="DQ248" s="147"/>
      <c r="DR248" s="147"/>
      <c r="DS248" s="147"/>
      <c r="DT248" s="147"/>
      <c r="DU248" s="147"/>
      <c r="DV248" s="143" t="b">
        <v>0</v>
      </c>
      <c r="DW248" s="71"/>
      <c r="DX248" s="71"/>
      <c r="DY248" s="71"/>
      <c r="DZ248" s="71"/>
      <c r="EA248" s="71"/>
      <c r="EB248" s="71"/>
      <c r="EC248" s="71"/>
      <c r="ED248" s="71"/>
      <c r="EE248" s="71"/>
      <c r="EF248" s="71"/>
      <c r="EG248" s="71"/>
      <c r="EH248" s="71"/>
      <c r="EI248" s="71"/>
    </row>
    <row r="249" spans="1:139" s="48" customFormat="1" ht="39.75" customHeight="1">
      <c r="A249" s="60">
        <v>497</v>
      </c>
      <c r="B249" s="108">
        <v>39534</v>
      </c>
      <c r="C249" s="62">
        <v>39534.831250000003</v>
      </c>
      <c r="D249" s="141">
        <v>21151728</v>
      </c>
      <c r="E249" s="71" t="s">
        <v>1120</v>
      </c>
      <c r="F249" s="48" t="b">
        <v>0</v>
      </c>
      <c r="G249" s="48" t="s">
        <v>1487</v>
      </c>
      <c r="H249" s="138" t="s">
        <v>441</v>
      </c>
      <c r="I249" s="108">
        <v>15348</v>
      </c>
      <c r="J249" s="142">
        <v>66.263013698630132</v>
      </c>
      <c r="K249" s="85">
        <v>795.06903353057191</v>
      </c>
      <c r="L249" s="138" t="s">
        <v>442</v>
      </c>
      <c r="M249" s="495" t="s">
        <v>1121</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497"/>
      <c r="AK249" s="324">
        <f t="shared" si="6"/>
        <v>1</v>
      </c>
      <c r="AL249" s="495"/>
      <c r="AM249" s="498"/>
      <c r="AN249" s="138"/>
      <c r="AO249" s="61"/>
      <c r="AP249" s="143"/>
      <c r="AQ249" s="498"/>
      <c r="AR249" s="138"/>
      <c r="AS249" s="138"/>
      <c r="AT249" s="497"/>
      <c r="AU249" s="138"/>
      <c r="AV249" s="138"/>
      <c r="AW249" s="138"/>
      <c r="AX249" s="138" t="s">
        <v>1122</v>
      </c>
      <c r="AY249" s="138"/>
      <c r="AZ249" s="138"/>
      <c r="BB249" s="82"/>
      <c r="BC249" s="82"/>
      <c r="BD249" s="82"/>
      <c r="BE249" s="82"/>
      <c r="BF249" s="235"/>
      <c r="BG249" s="767"/>
      <c r="BH249" s="767"/>
      <c r="BI249" s="228"/>
      <c r="BJ249" s="138"/>
      <c r="BK249" s="138"/>
      <c r="BL249" s="138"/>
      <c r="BM249" s="138"/>
      <c r="BN249" s="138"/>
      <c r="BO249" s="138"/>
      <c r="BP249" s="138"/>
      <c r="BQ249" s="138"/>
      <c r="BR249" s="138"/>
      <c r="BS249" s="247"/>
      <c r="BT249" s="228" t="s">
        <v>213</v>
      </c>
      <c r="BU249" s="138"/>
      <c r="BV249" s="138"/>
      <c r="BW249" s="138"/>
      <c r="BX249" s="138"/>
      <c r="BY249" s="138"/>
      <c r="BZ249" s="138"/>
      <c r="CA249" s="138"/>
      <c r="CB249" s="138"/>
      <c r="CC249" s="138"/>
      <c r="CD249" s="138"/>
      <c r="CE249" s="138"/>
      <c r="CF249" s="138"/>
      <c r="CG249" s="138"/>
      <c r="CH249" s="138"/>
      <c r="CI249" s="138"/>
      <c r="CJ249" s="82">
        <v>0</v>
      </c>
      <c r="CK249" s="82">
        <v>0</v>
      </c>
      <c r="CL249" s="138"/>
      <c r="CP249" s="505"/>
      <c r="CQ249" s="505"/>
      <c r="CR249" s="108">
        <v>39518</v>
      </c>
      <c r="CS249" s="108">
        <v>39605</v>
      </c>
      <c r="CT249" s="83">
        <v>71</v>
      </c>
      <c r="CU249" s="84"/>
      <c r="CV249" s="109"/>
      <c r="CW249" s="108"/>
      <c r="CX249" s="109"/>
      <c r="CY249" s="109"/>
      <c r="CZ249" s="109"/>
      <c r="DA249" s="108"/>
      <c r="DB249" s="109"/>
      <c r="DC249" s="108"/>
      <c r="DD249" s="109"/>
      <c r="DE249" s="108"/>
      <c r="DF249" s="109"/>
      <c r="DG249" s="108"/>
      <c r="DH249" s="108"/>
      <c r="DI249" s="146"/>
      <c r="DJ249" s="147">
        <v>0</v>
      </c>
      <c r="DK249" s="148"/>
      <c r="DL249" s="148"/>
      <c r="DM249" s="148"/>
      <c r="DN249" s="147"/>
      <c r="DO249" s="147"/>
      <c r="DP249" s="147"/>
      <c r="DQ249" s="147"/>
      <c r="DR249" s="147"/>
      <c r="DS249" s="147"/>
      <c r="DT249" s="147"/>
      <c r="DU249" s="147"/>
      <c r="DV249" s="143" t="b">
        <v>0</v>
      </c>
      <c r="DW249" s="71"/>
      <c r="DX249" s="71"/>
      <c r="DY249" s="71"/>
      <c r="DZ249" s="71"/>
      <c r="EA249" s="71"/>
      <c r="EB249" s="71"/>
      <c r="EC249" s="71"/>
      <c r="ED249" s="71"/>
      <c r="EE249" s="71"/>
      <c r="EF249" s="71"/>
      <c r="EG249" s="71"/>
      <c r="EH249" s="71"/>
      <c r="EI249" s="71"/>
    </row>
    <row r="250" spans="1:139" s="48" customFormat="1" ht="39.75" customHeight="1">
      <c r="A250" s="60">
        <v>498</v>
      </c>
      <c r="B250" s="108">
        <v>39499</v>
      </c>
      <c r="C250" s="62">
        <v>39499.355555555558</v>
      </c>
      <c r="D250" s="141">
        <v>616530</v>
      </c>
      <c r="E250" s="71" t="s">
        <v>1123</v>
      </c>
      <c r="F250" s="48" t="b">
        <v>0</v>
      </c>
      <c r="G250" s="48" t="s">
        <v>1487</v>
      </c>
      <c r="H250" s="138" t="s">
        <v>441</v>
      </c>
      <c r="I250" s="134">
        <v>20894</v>
      </c>
      <c r="J250" s="142">
        <v>50.972602739726028</v>
      </c>
      <c r="K250" s="85">
        <v>611.60420775805392</v>
      </c>
      <c r="L250" s="138" t="s">
        <v>1124</v>
      </c>
      <c r="M250" s="495" t="s">
        <v>1125</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497"/>
      <c r="AK250" s="324">
        <f t="shared" si="6"/>
        <v>0</v>
      </c>
      <c r="AL250" s="495"/>
      <c r="AM250" s="498"/>
      <c r="AN250" s="138"/>
      <c r="AO250" s="61"/>
      <c r="AP250" s="143"/>
      <c r="AQ250" s="498"/>
      <c r="AR250" s="138"/>
      <c r="AS250" s="138"/>
      <c r="AT250" s="497"/>
      <c r="AU250" s="138"/>
      <c r="AV250" s="138"/>
      <c r="AW250" s="138"/>
      <c r="AX250" s="138" t="s">
        <v>1126</v>
      </c>
      <c r="AY250" s="138"/>
      <c r="AZ250" s="138"/>
      <c r="BB250" s="82"/>
      <c r="BC250" s="82"/>
      <c r="BD250" s="82"/>
      <c r="BE250" s="82"/>
      <c r="BF250" s="235"/>
      <c r="BG250" s="767"/>
      <c r="BH250" s="767"/>
      <c r="BI250" s="228"/>
      <c r="BJ250" s="138"/>
      <c r="BK250" s="138"/>
      <c r="BL250" s="138"/>
      <c r="BM250" s="138"/>
      <c r="BN250" s="138"/>
      <c r="BO250" s="138"/>
      <c r="BP250" s="138"/>
      <c r="BQ250" s="138"/>
      <c r="BR250" s="138"/>
      <c r="BS250" s="247"/>
      <c r="BT250" s="228" t="s">
        <v>213</v>
      </c>
      <c r="BU250" s="138"/>
      <c r="BV250" s="138"/>
      <c r="BW250" s="138"/>
      <c r="BX250" s="138"/>
      <c r="BY250" s="138"/>
      <c r="BZ250" s="138"/>
      <c r="CA250" s="138"/>
      <c r="CB250" s="138"/>
      <c r="CC250" s="138"/>
      <c r="CD250" s="138"/>
      <c r="CE250" s="138"/>
      <c r="CF250" s="138"/>
      <c r="CG250" s="138"/>
      <c r="CH250" s="138"/>
      <c r="CI250" s="138"/>
      <c r="CJ250" s="82">
        <v>0</v>
      </c>
      <c r="CK250" s="82">
        <v>0</v>
      </c>
      <c r="CL250" s="138"/>
      <c r="CP250" s="505"/>
      <c r="CQ250" s="505"/>
      <c r="CR250" s="108">
        <v>39497</v>
      </c>
      <c r="CS250" s="108">
        <v>39534</v>
      </c>
      <c r="CT250" s="83">
        <v>35</v>
      </c>
      <c r="CU250" s="84"/>
      <c r="CV250" s="109"/>
      <c r="CW250" s="108"/>
      <c r="CX250" s="109"/>
      <c r="CY250" s="109"/>
      <c r="CZ250" s="109"/>
      <c r="DA250" s="108"/>
      <c r="DB250" s="109"/>
      <c r="DC250" s="108"/>
      <c r="DD250" s="109"/>
      <c r="DE250" s="108"/>
      <c r="DF250" s="109"/>
      <c r="DG250" s="108"/>
      <c r="DH250" s="108"/>
      <c r="DI250" s="146" t="s">
        <v>986</v>
      </c>
      <c r="DJ250" s="147">
        <v>0</v>
      </c>
      <c r="DK250" s="148"/>
      <c r="DL250" s="148"/>
      <c r="DM250" s="148"/>
      <c r="DN250" s="147"/>
      <c r="DO250" s="147"/>
      <c r="DP250" s="147"/>
      <c r="DQ250" s="147"/>
      <c r="DR250" s="147"/>
      <c r="DS250" s="147"/>
      <c r="DT250" s="147"/>
      <c r="DU250" s="147"/>
      <c r="DV250" s="143" t="s">
        <v>1095</v>
      </c>
      <c r="DW250" s="71"/>
      <c r="DX250" s="71"/>
      <c r="DY250" s="71"/>
      <c r="DZ250" s="71"/>
      <c r="EA250" s="71"/>
      <c r="EB250" s="71"/>
      <c r="EC250" s="71"/>
      <c r="ED250" s="71"/>
      <c r="EE250" s="71"/>
      <c r="EF250" s="71"/>
      <c r="EG250" s="71"/>
      <c r="EH250" s="71"/>
      <c r="EI250" s="71"/>
    </row>
    <row r="251" spans="1:139" s="48" customFormat="1" ht="39.75" customHeight="1">
      <c r="A251" s="60">
        <v>499</v>
      </c>
      <c r="B251" s="108">
        <v>39498</v>
      </c>
      <c r="C251" s="62">
        <v>39498.6875</v>
      </c>
      <c r="D251" s="141">
        <v>616530</v>
      </c>
      <c r="E251" s="71" t="s">
        <v>1123</v>
      </c>
      <c r="F251" s="48" t="b">
        <v>0</v>
      </c>
      <c r="G251" s="48" t="s">
        <v>1487</v>
      </c>
      <c r="H251" s="138" t="s">
        <v>441</v>
      </c>
      <c r="I251" s="134" t="s">
        <v>1127</v>
      </c>
      <c r="J251" s="142">
        <v>50.969863013698628</v>
      </c>
      <c r="K251" s="85">
        <v>611.57133464825768</v>
      </c>
      <c r="L251" s="138" t="s">
        <v>493</v>
      </c>
      <c r="M251" s="495" t="s">
        <v>1128</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497"/>
      <c r="AK251" s="324">
        <f t="shared" si="6"/>
        <v>0</v>
      </c>
      <c r="AL251" s="495"/>
      <c r="AM251" s="498"/>
      <c r="AN251" s="138"/>
      <c r="AO251" s="61"/>
      <c r="AP251" s="143"/>
      <c r="AQ251" s="498"/>
      <c r="AR251" s="138"/>
      <c r="AS251" s="138"/>
      <c r="AT251" s="497"/>
      <c r="AU251" s="138"/>
      <c r="AV251" s="138"/>
      <c r="AW251" s="138"/>
      <c r="AX251" s="597" t="s">
        <v>1130</v>
      </c>
      <c r="AY251" s="138"/>
      <c r="AZ251" s="138"/>
      <c r="BB251" s="82"/>
      <c r="BC251" s="82"/>
      <c r="BD251" s="82"/>
      <c r="BE251" s="82"/>
      <c r="BF251" s="235"/>
      <c r="BG251" s="767"/>
      <c r="BH251" s="767"/>
      <c r="BI251" s="228"/>
      <c r="BJ251" s="138"/>
      <c r="BK251" s="138"/>
      <c r="BL251" s="138"/>
      <c r="BM251" s="138"/>
      <c r="BN251" s="138"/>
      <c r="BO251" s="138"/>
      <c r="BP251" s="138"/>
      <c r="BQ251" s="138"/>
      <c r="BR251" s="138"/>
      <c r="BS251" s="247"/>
      <c r="BT251" s="228" t="s">
        <v>213</v>
      </c>
      <c r="BU251" s="138"/>
      <c r="BV251" s="138"/>
      <c r="BW251" s="138"/>
      <c r="BX251" s="138"/>
      <c r="BY251" s="138"/>
      <c r="BZ251" s="138"/>
      <c r="CA251" s="138"/>
      <c r="CB251" s="138"/>
      <c r="CC251" s="138"/>
      <c r="CD251" s="138"/>
      <c r="CE251" s="138"/>
      <c r="CF251" s="138"/>
      <c r="CG251" s="138"/>
      <c r="CH251" s="93" t="s">
        <v>1129</v>
      </c>
      <c r="CI251" s="93"/>
      <c r="CJ251" s="82">
        <v>0</v>
      </c>
      <c r="CK251" s="82">
        <v>0</v>
      </c>
      <c r="CL251" s="138" t="s">
        <v>714</v>
      </c>
      <c r="CP251" s="505"/>
      <c r="CQ251" s="505"/>
      <c r="CR251" s="108">
        <v>39497</v>
      </c>
      <c r="CS251" s="108">
        <v>39534</v>
      </c>
      <c r="CT251" s="83">
        <v>36</v>
      </c>
      <c r="CU251" s="84"/>
      <c r="CV251" s="109"/>
      <c r="CW251" s="108"/>
      <c r="CX251" s="109"/>
      <c r="CY251" s="109"/>
      <c r="CZ251" s="109"/>
      <c r="DA251" s="108"/>
      <c r="DB251" s="109"/>
      <c r="DC251" s="108"/>
      <c r="DD251" s="109"/>
      <c r="DE251" s="108"/>
      <c r="DF251" s="109"/>
      <c r="DG251" s="108"/>
      <c r="DH251" s="108"/>
      <c r="DI251" s="146" t="s">
        <v>986</v>
      </c>
      <c r="DJ251" s="147">
        <v>0</v>
      </c>
      <c r="DK251" s="148"/>
      <c r="DL251" s="148"/>
      <c r="DM251" s="148"/>
      <c r="DN251" s="147"/>
      <c r="DO251" s="147"/>
      <c r="DP251" s="147"/>
      <c r="DQ251" s="147"/>
      <c r="DR251" s="147"/>
      <c r="DS251" s="147"/>
      <c r="DT251" s="147"/>
      <c r="DU251" s="147"/>
      <c r="DV251" s="143" t="s">
        <v>1095</v>
      </c>
      <c r="DW251" s="108">
        <v>39499</v>
      </c>
      <c r="DX251" s="93" t="s">
        <v>1131</v>
      </c>
      <c r="DY251" s="71" t="s">
        <v>1126</v>
      </c>
      <c r="DZ251" s="71"/>
      <c r="EA251" s="71"/>
      <c r="EB251" s="71"/>
      <c r="EC251" s="71"/>
      <c r="ED251" s="71"/>
      <c r="EE251" s="71"/>
      <c r="EF251" s="71"/>
      <c r="EG251" s="71"/>
      <c r="EH251" s="71"/>
      <c r="EI251" s="71"/>
    </row>
    <row r="252" spans="1:139" s="544" customFormat="1" ht="39.75" customHeight="1">
      <c r="A252" s="539">
        <v>500</v>
      </c>
      <c r="B252" s="540">
        <v>39463</v>
      </c>
      <c r="C252" s="541">
        <v>39463.55972222222</v>
      </c>
      <c r="D252" s="542">
        <v>20898165</v>
      </c>
      <c r="E252" s="557" t="s">
        <v>1132</v>
      </c>
      <c r="F252" s="544" t="b">
        <v>1</v>
      </c>
      <c r="H252" s="557" t="s">
        <v>441</v>
      </c>
      <c r="I252" s="540">
        <v>28501</v>
      </c>
      <c r="J252" s="570">
        <v>30.032876712328768</v>
      </c>
      <c r="K252" s="546">
        <v>360.35502958579877</v>
      </c>
      <c r="L252" s="557" t="s">
        <v>500</v>
      </c>
      <c r="M252" s="547" t="s">
        <v>1133</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v>0</v>
      </c>
      <c r="AK252" s="552">
        <f t="shared" si="6"/>
        <v>0</v>
      </c>
      <c r="AL252" s="553"/>
      <c r="AM252" s="554">
        <v>39454</v>
      </c>
      <c r="AN252" s="549" t="s">
        <v>2092</v>
      </c>
      <c r="AO252" s="555">
        <v>39524</v>
      </c>
      <c r="AP252" s="539" t="s">
        <v>187</v>
      </c>
      <c r="AQ252" s="554">
        <v>39447</v>
      </c>
      <c r="AR252" s="549">
        <v>1</v>
      </c>
      <c r="AS252" s="549" t="s">
        <v>1134</v>
      </c>
      <c r="AT252" s="552">
        <v>0</v>
      </c>
      <c r="AU252" s="549">
        <v>0</v>
      </c>
      <c r="AV252" s="549">
        <v>0</v>
      </c>
      <c r="AW252" s="549">
        <v>1</v>
      </c>
      <c r="AX252" s="574" t="s">
        <v>1135</v>
      </c>
      <c r="AY252" s="574"/>
      <c r="AZ252" s="574" t="s">
        <v>1747</v>
      </c>
      <c r="BA252" s="544">
        <v>0</v>
      </c>
      <c r="BB252" s="558">
        <v>1</v>
      </c>
      <c r="BC252" s="558">
        <v>15</v>
      </c>
      <c r="BD252" s="558">
        <v>0</v>
      </c>
      <c r="BE252" s="558">
        <v>0</v>
      </c>
      <c r="BF252" s="559">
        <v>0</v>
      </c>
      <c r="BG252" s="771">
        <v>0</v>
      </c>
      <c r="BH252" s="771"/>
      <c r="BI252" s="573">
        <v>1</v>
      </c>
      <c r="BJ252" s="574"/>
      <c r="BK252" s="574">
        <v>1</v>
      </c>
      <c r="BL252" s="574" t="s">
        <v>2093</v>
      </c>
      <c r="BM252" s="574">
        <v>1</v>
      </c>
      <c r="BN252" s="574" t="s">
        <v>2004</v>
      </c>
      <c r="BO252" s="574">
        <v>0</v>
      </c>
      <c r="BP252" s="574">
        <v>0</v>
      </c>
      <c r="BQ252" s="574">
        <v>0</v>
      </c>
      <c r="BR252" s="574">
        <v>0</v>
      </c>
      <c r="BS252" s="562">
        <v>1</v>
      </c>
      <c r="BT252" s="573">
        <v>0</v>
      </c>
      <c r="BU252" s="574"/>
      <c r="BV252" s="574">
        <v>0</v>
      </c>
      <c r="BW252" s="574">
        <v>0</v>
      </c>
      <c r="BX252" s="574">
        <v>0</v>
      </c>
      <c r="BY252" s="574"/>
      <c r="BZ252" s="574"/>
      <c r="CA252" s="557"/>
      <c r="CB252" s="578">
        <v>0</v>
      </c>
      <c r="CC252" s="578">
        <v>0</v>
      </c>
      <c r="CD252" s="578">
        <v>0</v>
      </c>
      <c r="CE252" s="578"/>
      <c r="CF252" s="578"/>
      <c r="CG252" s="574"/>
      <c r="CH252" s="574">
        <v>0</v>
      </c>
      <c r="CI252" s="574"/>
      <c r="CJ252" s="558">
        <v>0</v>
      </c>
      <c r="CK252" s="558">
        <v>0</v>
      </c>
      <c r="CL252" s="574">
        <v>0</v>
      </c>
      <c r="CM252" s="544">
        <v>78</v>
      </c>
      <c r="CN252" s="544">
        <v>62</v>
      </c>
      <c r="CP252" s="564">
        <v>29.7</v>
      </c>
      <c r="CQ252" s="564">
        <v>31.2</v>
      </c>
      <c r="CR252" s="540">
        <v>39462</v>
      </c>
      <c r="CS252" s="540">
        <v>39527</v>
      </c>
      <c r="CT252" s="565">
        <v>64</v>
      </c>
      <c r="CU252" s="566">
        <v>40052</v>
      </c>
      <c r="CV252" s="567">
        <v>0</v>
      </c>
      <c r="CW252" s="540"/>
      <c r="CX252" s="567">
        <v>0</v>
      </c>
      <c r="CY252" s="567">
        <v>0</v>
      </c>
      <c r="CZ252" s="567">
        <v>0</v>
      </c>
      <c r="DA252" s="540"/>
      <c r="DB252" s="567">
        <v>0</v>
      </c>
      <c r="DC252" s="540"/>
      <c r="DD252" s="567">
        <v>0</v>
      </c>
      <c r="DE252" s="540"/>
      <c r="DF252" s="567">
        <v>0</v>
      </c>
      <c r="DG252" s="540"/>
      <c r="DH252" s="540"/>
      <c r="DI252" s="588"/>
      <c r="DJ252" s="583">
        <v>0</v>
      </c>
      <c r="DK252" s="589"/>
      <c r="DL252" s="589"/>
      <c r="DM252" s="589"/>
      <c r="DN252" s="583"/>
      <c r="DO252" s="583"/>
      <c r="DP252" s="583"/>
      <c r="DQ252" s="583"/>
      <c r="DR252" s="583"/>
      <c r="DS252" s="583"/>
      <c r="DT252" s="583"/>
      <c r="DU252" s="583"/>
      <c r="DV252" s="571" t="b">
        <v>0</v>
      </c>
      <c r="DW252" s="540">
        <v>39472</v>
      </c>
      <c r="DX252" s="557" t="s">
        <v>1136</v>
      </c>
      <c r="DY252" s="557" t="s">
        <v>1137</v>
      </c>
      <c r="DZ252" s="557"/>
      <c r="EA252" s="557"/>
      <c r="EB252" s="557"/>
      <c r="EC252" s="557"/>
      <c r="ED252" s="557"/>
      <c r="EE252" s="557"/>
      <c r="EF252" s="557"/>
      <c r="EG252" s="557"/>
      <c r="EH252" s="557"/>
      <c r="EI252" s="557"/>
    </row>
    <row r="253" spans="1:139" s="544" customFormat="1" ht="39.75" customHeight="1">
      <c r="A253" s="539">
        <v>501</v>
      </c>
      <c r="B253" s="540">
        <v>39462</v>
      </c>
      <c r="C253" s="541">
        <v>39462.916666666664</v>
      </c>
      <c r="D253" s="542">
        <v>20901962</v>
      </c>
      <c r="E253" s="557" t="s">
        <v>1138</v>
      </c>
      <c r="F253" s="544" t="b">
        <v>1</v>
      </c>
      <c r="H253" s="557" t="s">
        <v>418</v>
      </c>
      <c r="I253" s="540">
        <v>20337</v>
      </c>
      <c r="J253" s="570">
        <v>52.397260273972606</v>
      </c>
      <c r="K253" s="546">
        <v>628.69822485207101</v>
      </c>
      <c r="L253" s="557" t="s">
        <v>500</v>
      </c>
      <c r="M253" s="547" t="s">
        <v>1139</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77">
        <v>0</v>
      </c>
      <c r="AK253" s="552">
        <f t="shared" si="6"/>
        <v>0</v>
      </c>
      <c r="AL253" s="547"/>
      <c r="AM253" s="575">
        <v>39462</v>
      </c>
      <c r="AN253" s="574" t="s">
        <v>1890</v>
      </c>
      <c r="AO253" s="555">
        <v>39497</v>
      </c>
      <c r="AP253" s="571" t="s">
        <v>1587</v>
      </c>
      <c r="AQ253" s="575"/>
      <c r="AR253" s="574">
        <v>1</v>
      </c>
      <c r="AS253" s="574" t="s">
        <v>1518</v>
      </c>
      <c r="AT253" s="577">
        <v>0</v>
      </c>
      <c r="AU253" s="574">
        <v>1</v>
      </c>
      <c r="AV253" s="574">
        <v>0</v>
      </c>
      <c r="AW253" s="574">
        <v>1</v>
      </c>
      <c r="AX253" s="574" t="s">
        <v>1140</v>
      </c>
      <c r="AY253" s="574"/>
      <c r="AZ253" s="574" t="s">
        <v>1503</v>
      </c>
      <c r="BA253" s="544">
        <v>0</v>
      </c>
      <c r="BB253" s="558">
        <v>1</v>
      </c>
      <c r="BC253" s="558"/>
      <c r="BD253" s="558">
        <v>0</v>
      </c>
      <c r="BE253" s="558">
        <v>0</v>
      </c>
      <c r="BF253" s="559">
        <v>0</v>
      </c>
      <c r="BG253" s="771">
        <v>1</v>
      </c>
      <c r="BH253" s="771" t="s">
        <v>2004</v>
      </c>
      <c r="BI253" s="573">
        <v>0</v>
      </c>
      <c r="BJ253" s="574"/>
      <c r="BK253" s="574">
        <v>0</v>
      </c>
      <c r="BL253" s="574"/>
      <c r="BM253" s="574">
        <v>0</v>
      </c>
      <c r="BN253" s="574"/>
      <c r="BO253" s="574">
        <v>0</v>
      </c>
      <c r="BP253" s="574">
        <v>0</v>
      </c>
      <c r="BQ253" s="574">
        <v>0</v>
      </c>
      <c r="BR253" s="574">
        <v>0</v>
      </c>
      <c r="BS253" s="562">
        <v>0</v>
      </c>
      <c r="BT253" s="598">
        <v>1</v>
      </c>
      <c r="BU253" s="599" t="s">
        <v>2094</v>
      </c>
      <c r="BV253" s="599">
        <v>0</v>
      </c>
      <c r="BW253" s="599">
        <v>0</v>
      </c>
      <c r="BX253" s="574">
        <v>0</v>
      </c>
      <c r="BY253" s="574"/>
      <c r="BZ253" s="574"/>
      <c r="CA253" s="574"/>
      <c r="CB253" s="574">
        <v>0</v>
      </c>
      <c r="CC253" s="574">
        <v>0</v>
      </c>
      <c r="CD253" s="574">
        <v>0</v>
      </c>
      <c r="CE253" s="574"/>
      <c r="CF253" s="574"/>
      <c r="CG253" s="574"/>
      <c r="CH253" s="574">
        <v>0</v>
      </c>
      <c r="CI253" s="574"/>
      <c r="CJ253" s="558">
        <v>0</v>
      </c>
      <c r="CK253" s="558">
        <v>0</v>
      </c>
      <c r="CL253" s="574">
        <v>0</v>
      </c>
      <c r="CM253" s="544">
        <v>136</v>
      </c>
      <c r="CN253" s="544">
        <v>108</v>
      </c>
      <c r="CP253" s="564">
        <v>28</v>
      </c>
      <c r="CQ253" s="564">
        <v>29.4</v>
      </c>
      <c r="CR253" s="540">
        <v>39462</v>
      </c>
      <c r="CS253" s="540">
        <v>39508</v>
      </c>
      <c r="CT253" s="565">
        <v>46</v>
      </c>
      <c r="CU253" s="566">
        <v>39508</v>
      </c>
      <c r="CV253" s="567">
        <v>0</v>
      </c>
      <c r="CW253" s="540"/>
      <c r="CX253" s="567">
        <v>0</v>
      </c>
      <c r="CY253" s="567">
        <v>0</v>
      </c>
      <c r="CZ253" s="567">
        <v>0</v>
      </c>
      <c r="DA253" s="540"/>
      <c r="DB253" s="567">
        <v>0</v>
      </c>
      <c r="DC253" s="540"/>
      <c r="DD253" s="567">
        <v>0</v>
      </c>
      <c r="DE253" s="540"/>
      <c r="DF253" s="567">
        <v>0</v>
      </c>
      <c r="DG253" s="540"/>
      <c r="DH253" s="540"/>
      <c r="DI253" s="588" t="s">
        <v>986</v>
      </c>
      <c r="DJ253" s="583">
        <v>0</v>
      </c>
      <c r="DK253" s="589"/>
      <c r="DL253" s="589"/>
      <c r="DM253" s="589"/>
      <c r="DN253" s="583"/>
      <c r="DO253" s="596" t="s">
        <v>1141</v>
      </c>
      <c r="DP253" s="583"/>
      <c r="DQ253" s="583"/>
      <c r="DR253" s="583"/>
      <c r="DS253" s="583"/>
      <c r="DT253" s="583"/>
      <c r="DU253" s="583"/>
      <c r="DV253" s="571" t="b">
        <v>0</v>
      </c>
      <c r="DW253" s="557"/>
      <c r="DX253" s="557"/>
      <c r="DY253" s="557"/>
      <c r="DZ253" s="557"/>
      <c r="EA253" s="557"/>
      <c r="EB253" s="557"/>
      <c r="EC253" s="557"/>
      <c r="ED253" s="557"/>
      <c r="EE253" s="557"/>
      <c r="EF253" s="557"/>
      <c r="EG253" s="557"/>
      <c r="EH253" s="557"/>
      <c r="EI253" s="557"/>
    </row>
    <row r="254" spans="1:139" s="544" customFormat="1" ht="39.75" customHeight="1">
      <c r="A254" s="539">
        <v>503</v>
      </c>
      <c r="B254" s="540">
        <v>39440</v>
      </c>
      <c r="C254" s="541">
        <v>39440.793749999997</v>
      </c>
      <c r="D254" s="600">
        <v>20801334</v>
      </c>
      <c r="E254" s="601" t="s">
        <v>1142</v>
      </c>
      <c r="F254" s="544" t="b">
        <v>1</v>
      </c>
      <c r="H254" s="583" t="s">
        <v>418</v>
      </c>
      <c r="I254" s="602">
        <v>20801</v>
      </c>
      <c r="J254" s="570">
        <v>51.065753424657537</v>
      </c>
      <c r="K254" s="546">
        <v>612.72189349112421</v>
      </c>
      <c r="L254" s="574" t="s">
        <v>442</v>
      </c>
      <c r="M254" s="603" t="s">
        <v>1143</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607">
        <v>0</v>
      </c>
      <c r="AK254" s="552">
        <f t="shared" si="6"/>
        <v>0</v>
      </c>
      <c r="AL254" s="603"/>
      <c r="AM254" s="604">
        <v>39440</v>
      </c>
      <c r="AN254" s="605" t="s">
        <v>2061</v>
      </c>
      <c r="AO254" s="555"/>
      <c r="AP254" s="608" t="s">
        <v>2097</v>
      </c>
      <c r="AQ254" s="604"/>
      <c r="AR254" s="605">
        <v>1</v>
      </c>
      <c r="AS254" s="605" t="s">
        <v>2095</v>
      </c>
      <c r="AT254" s="607">
        <v>0</v>
      </c>
      <c r="AU254" s="605">
        <v>1</v>
      </c>
      <c r="AV254" s="605">
        <v>0</v>
      </c>
      <c r="AW254" s="605">
        <v>1</v>
      </c>
      <c r="AX254" s="574" t="s">
        <v>1144</v>
      </c>
      <c r="AY254" s="605"/>
      <c r="AZ254" s="605" t="s">
        <v>2096</v>
      </c>
      <c r="BA254" s="544">
        <v>0</v>
      </c>
      <c r="BB254" s="558">
        <v>1</v>
      </c>
      <c r="BC254" s="558"/>
      <c r="BD254" s="558">
        <v>0</v>
      </c>
      <c r="BE254" s="558">
        <v>0</v>
      </c>
      <c r="BF254" s="559">
        <v>0</v>
      </c>
      <c r="BG254" s="771">
        <v>0</v>
      </c>
      <c r="BH254" s="771"/>
      <c r="BI254" s="609">
        <v>0</v>
      </c>
      <c r="BJ254" s="605"/>
      <c r="BK254" s="605">
        <v>0</v>
      </c>
      <c r="BL254" s="605"/>
      <c r="BM254" s="605">
        <v>0</v>
      </c>
      <c r="BN254" s="605"/>
      <c r="BO254" s="605">
        <v>0</v>
      </c>
      <c r="BP254" s="605">
        <v>0</v>
      </c>
      <c r="BQ254" s="605">
        <v>0</v>
      </c>
      <c r="BR254" s="605">
        <v>0</v>
      </c>
      <c r="BS254" s="610">
        <v>0</v>
      </c>
      <c r="BT254" s="560">
        <v>1</v>
      </c>
      <c r="BU254" s="561" t="s">
        <v>2098</v>
      </c>
      <c r="BV254" s="561">
        <v>0</v>
      </c>
      <c r="BW254" s="561">
        <v>0</v>
      </c>
      <c r="BX254" s="605">
        <v>0</v>
      </c>
      <c r="BY254" s="605"/>
      <c r="BZ254" s="605"/>
      <c r="CA254" s="605"/>
      <c r="CB254" s="605">
        <v>0</v>
      </c>
      <c r="CC254" s="605">
        <v>0</v>
      </c>
      <c r="CD254" s="605">
        <v>0</v>
      </c>
      <c r="CE254" s="605"/>
      <c r="CF254" s="605"/>
      <c r="CG254" s="605"/>
      <c r="CH254" s="605">
        <v>0</v>
      </c>
      <c r="CI254" s="605"/>
      <c r="CJ254" s="558">
        <v>0</v>
      </c>
      <c r="CK254" s="558">
        <v>0</v>
      </c>
      <c r="CL254" s="605">
        <v>0</v>
      </c>
      <c r="CM254" s="544">
        <v>150</v>
      </c>
      <c r="CN254" s="544">
        <v>125</v>
      </c>
      <c r="CP254" s="564">
        <v>28.6</v>
      </c>
      <c r="CQ254" s="564">
        <v>29.3</v>
      </c>
      <c r="CR254" s="589">
        <v>39440</v>
      </c>
      <c r="CS254" s="589">
        <v>39462</v>
      </c>
      <c r="CT254" s="565">
        <v>22</v>
      </c>
      <c r="CU254" s="566">
        <v>43871</v>
      </c>
      <c r="CV254" s="611">
        <v>0</v>
      </c>
      <c r="CW254" s="602"/>
      <c r="CX254" s="611">
        <v>0</v>
      </c>
      <c r="CY254" s="611">
        <v>0</v>
      </c>
      <c r="CZ254" s="611">
        <v>0</v>
      </c>
      <c r="DA254" s="602"/>
      <c r="DB254" s="611">
        <v>0</v>
      </c>
      <c r="DC254" s="602"/>
      <c r="DD254" s="611">
        <v>0</v>
      </c>
      <c r="DE254" s="602"/>
      <c r="DF254" s="611">
        <v>0</v>
      </c>
      <c r="DG254" s="602"/>
      <c r="DH254" s="602"/>
      <c r="DI254" s="588" t="s">
        <v>986</v>
      </c>
      <c r="DJ254" s="583">
        <v>0</v>
      </c>
      <c r="DK254" s="583"/>
      <c r="DL254" s="583"/>
      <c r="DM254" s="583"/>
      <c r="DN254" s="583"/>
      <c r="DO254" s="583"/>
      <c r="DP254" s="583"/>
      <c r="DQ254" s="583"/>
      <c r="DR254" s="583"/>
      <c r="DS254" s="583"/>
      <c r="DT254" s="583"/>
      <c r="DU254" s="583"/>
      <c r="DV254" s="571" t="b">
        <v>0</v>
      </c>
      <c r="DW254" s="557"/>
      <c r="DX254" s="557"/>
      <c r="DY254" s="557"/>
      <c r="DZ254" s="557"/>
      <c r="EA254" s="557"/>
      <c r="EB254" s="557"/>
      <c r="EC254" s="557"/>
      <c r="ED254" s="557"/>
      <c r="EE254" s="557"/>
      <c r="EF254" s="557"/>
      <c r="EG254" s="557"/>
      <c r="EH254" s="557"/>
      <c r="EI254" s="557"/>
    </row>
    <row r="255" spans="1:139" s="544" customFormat="1" ht="39.75" customHeight="1">
      <c r="A255" s="539">
        <v>506</v>
      </c>
      <c r="B255" s="540">
        <v>39368</v>
      </c>
      <c r="C255" s="541">
        <v>39368.888888888891</v>
      </c>
      <c r="D255" s="600">
        <v>13335680</v>
      </c>
      <c r="E255" s="601" t="s">
        <v>1145</v>
      </c>
      <c r="F255" s="544" t="b">
        <v>1</v>
      </c>
      <c r="H255" s="583" t="s">
        <v>418</v>
      </c>
      <c r="I255" s="602">
        <v>24867</v>
      </c>
      <c r="J255" s="570">
        <v>39.728767123287675</v>
      </c>
      <c r="K255" s="546">
        <v>476.69296515450361</v>
      </c>
      <c r="L255" s="574" t="s">
        <v>493</v>
      </c>
      <c r="M255" s="547" t="s">
        <v>1146</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v>0</v>
      </c>
      <c r="AK255" s="552">
        <f t="shared" si="6"/>
        <v>0</v>
      </c>
      <c r="AL255" s="553"/>
      <c r="AM255" s="554">
        <v>39368</v>
      </c>
      <c r="AN255" s="549" t="s">
        <v>1865</v>
      </c>
      <c r="AO255" s="555">
        <v>39395</v>
      </c>
      <c r="AP255" s="539" t="s">
        <v>187</v>
      </c>
      <c r="AQ255" s="554">
        <v>39369</v>
      </c>
      <c r="AR255" s="549">
        <v>1</v>
      </c>
      <c r="AS255" s="549" t="s">
        <v>1147</v>
      </c>
      <c r="AT255" s="552">
        <v>0</v>
      </c>
      <c r="AU255" s="549">
        <v>0</v>
      </c>
      <c r="AV255" s="549">
        <v>0</v>
      </c>
      <c r="AW255" s="549">
        <v>1</v>
      </c>
      <c r="AX255" s="574" t="s">
        <v>1148</v>
      </c>
      <c r="AY255" s="574"/>
      <c r="AZ255" s="574" t="s">
        <v>2099</v>
      </c>
      <c r="BA255" s="544">
        <v>0</v>
      </c>
      <c r="BB255" s="558">
        <v>1</v>
      </c>
      <c r="BC255" s="558"/>
      <c r="BD255" s="558">
        <v>0</v>
      </c>
      <c r="BE255" s="558">
        <v>0</v>
      </c>
      <c r="BF255" s="559">
        <v>0</v>
      </c>
      <c r="BG255" s="771">
        <v>0</v>
      </c>
      <c r="BH255" s="771"/>
      <c r="BI255" s="573">
        <v>1</v>
      </c>
      <c r="BJ255" s="574"/>
      <c r="BK255" s="574">
        <v>1</v>
      </c>
      <c r="BL255" s="574" t="s">
        <v>2100</v>
      </c>
      <c r="BM255" s="574">
        <v>1</v>
      </c>
      <c r="BN255" s="574" t="s">
        <v>2101</v>
      </c>
      <c r="BO255" s="574">
        <v>0</v>
      </c>
      <c r="BP255" s="574">
        <v>0</v>
      </c>
      <c r="BQ255" s="574">
        <v>1</v>
      </c>
      <c r="BR255" s="574">
        <v>1</v>
      </c>
      <c r="BS255" s="562">
        <v>0</v>
      </c>
      <c r="BT255" s="573">
        <v>0</v>
      </c>
      <c r="BU255" s="574"/>
      <c r="BV255" s="574">
        <v>0</v>
      </c>
      <c r="BW255" s="574">
        <v>0</v>
      </c>
      <c r="BX255" s="574">
        <v>0</v>
      </c>
      <c r="BY255" s="574"/>
      <c r="BZ255" s="574"/>
      <c r="CA255" s="557"/>
      <c r="CB255" s="578">
        <v>0</v>
      </c>
      <c r="CC255" s="578">
        <v>0</v>
      </c>
      <c r="CD255" s="578">
        <v>0</v>
      </c>
      <c r="CE255" s="578"/>
      <c r="CF255" s="578"/>
      <c r="CG255" s="574"/>
      <c r="CH255" s="574">
        <v>0</v>
      </c>
      <c r="CI255" s="574"/>
      <c r="CJ255" s="558">
        <v>0</v>
      </c>
      <c r="CK255" s="558">
        <v>0</v>
      </c>
      <c r="CL255" s="574">
        <v>0</v>
      </c>
      <c r="CM255" s="544">
        <v>82</v>
      </c>
      <c r="CN255" s="544">
        <v>67</v>
      </c>
      <c r="CP255" s="564">
        <v>29.3</v>
      </c>
      <c r="CQ255" s="564">
        <v>30.7</v>
      </c>
      <c r="CR255" s="589">
        <v>39368</v>
      </c>
      <c r="CS255" s="589">
        <v>39396</v>
      </c>
      <c r="CT255" s="565">
        <v>28</v>
      </c>
      <c r="CU255" s="566">
        <v>39952</v>
      </c>
      <c r="CV255" s="611">
        <v>0</v>
      </c>
      <c r="CW255" s="589"/>
      <c r="CX255" s="611">
        <v>0</v>
      </c>
      <c r="CY255" s="611">
        <v>0</v>
      </c>
      <c r="CZ255" s="611">
        <v>0</v>
      </c>
      <c r="DA255" s="589"/>
      <c r="DB255" s="611">
        <v>0</v>
      </c>
      <c r="DC255" s="589"/>
      <c r="DD255" s="611">
        <v>0</v>
      </c>
      <c r="DE255" s="589"/>
      <c r="DF255" s="611">
        <v>0</v>
      </c>
      <c r="DG255" s="589"/>
      <c r="DH255" s="589"/>
      <c r="DI255" s="588" t="s">
        <v>986</v>
      </c>
      <c r="DJ255" s="583">
        <v>0</v>
      </c>
      <c r="DK255" s="583"/>
      <c r="DL255" s="583"/>
      <c r="DM255" s="583"/>
      <c r="DN255" s="583"/>
      <c r="DO255" s="583"/>
      <c r="DP255" s="583"/>
      <c r="DQ255" s="583"/>
      <c r="DR255" s="583"/>
      <c r="DS255" s="583"/>
      <c r="DT255" s="583"/>
      <c r="DU255" s="583"/>
      <c r="DV255" s="571" t="b">
        <v>0</v>
      </c>
      <c r="DW255" s="557"/>
      <c r="DX255" s="557"/>
      <c r="DY255" s="557"/>
      <c r="DZ255" s="557"/>
      <c r="EA255" s="557"/>
      <c r="EB255" s="557"/>
      <c r="EC255" s="557"/>
      <c r="ED255" s="557"/>
      <c r="EE255" s="557"/>
      <c r="EF255" s="557"/>
      <c r="EG255" s="557"/>
      <c r="EH255" s="557"/>
      <c r="EI255" s="557"/>
    </row>
    <row r="256" spans="1:139" s="544" customFormat="1" ht="39.75" customHeight="1">
      <c r="A256" s="539">
        <v>507</v>
      </c>
      <c r="B256" s="540">
        <v>39364</v>
      </c>
      <c r="C256" s="541">
        <v>39364.536111111112</v>
      </c>
      <c r="D256" s="600">
        <v>20496794</v>
      </c>
      <c r="E256" s="601" t="s">
        <v>1149</v>
      </c>
      <c r="F256" s="544" t="b">
        <v>1</v>
      </c>
      <c r="H256" s="583" t="s">
        <v>441</v>
      </c>
      <c r="I256" s="602">
        <v>29301</v>
      </c>
      <c r="J256" s="570">
        <v>27.56986301369863</v>
      </c>
      <c r="K256" s="546">
        <v>330.80210387902696</v>
      </c>
      <c r="L256" s="574" t="s">
        <v>500</v>
      </c>
      <c r="M256" s="547" t="s">
        <v>1150</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v>0</v>
      </c>
      <c r="AK256" s="552">
        <f t="shared" si="6"/>
        <v>0</v>
      </c>
      <c r="AL256" s="553"/>
      <c r="AM256" s="554">
        <v>39364</v>
      </c>
      <c r="AN256" s="549" t="s">
        <v>2006</v>
      </c>
      <c r="AO256" s="555">
        <v>39390</v>
      </c>
      <c r="AP256" s="539" t="s">
        <v>543</v>
      </c>
      <c r="AQ256" s="554">
        <v>39353</v>
      </c>
      <c r="AR256" s="549">
        <v>1</v>
      </c>
      <c r="AS256" s="549" t="s">
        <v>2102</v>
      </c>
      <c r="AT256" s="552">
        <v>0</v>
      </c>
      <c r="AU256" s="549">
        <v>0</v>
      </c>
      <c r="AV256" s="549">
        <v>0</v>
      </c>
      <c r="AW256" s="549">
        <v>1</v>
      </c>
      <c r="AX256" s="574" t="s">
        <v>1151</v>
      </c>
      <c r="AY256" s="574"/>
      <c r="AZ256" s="574" t="s">
        <v>2103</v>
      </c>
      <c r="BA256" s="544">
        <v>0</v>
      </c>
      <c r="BB256" s="558">
        <v>1</v>
      </c>
      <c r="BC256" s="558"/>
      <c r="BD256" s="558">
        <v>0</v>
      </c>
      <c r="BE256" s="558">
        <v>0</v>
      </c>
      <c r="BF256" s="559">
        <v>0</v>
      </c>
      <c r="BG256" s="771">
        <v>0</v>
      </c>
      <c r="BH256" s="771"/>
      <c r="BI256" s="573">
        <v>1</v>
      </c>
      <c r="BJ256" s="574"/>
      <c r="BK256" s="574">
        <v>0</v>
      </c>
      <c r="BL256" s="574"/>
      <c r="BM256" s="574">
        <v>1</v>
      </c>
      <c r="BN256" s="574" t="s">
        <v>2104</v>
      </c>
      <c r="BO256" s="574">
        <v>0</v>
      </c>
      <c r="BP256" s="574">
        <v>0</v>
      </c>
      <c r="BQ256" s="574">
        <v>0</v>
      </c>
      <c r="BR256" s="574">
        <v>0</v>
      </c>
      <c r="BS256" s="562">
        <v>1</v>
      </c>
      <c r="BT256" s="573">
        <v>0</v>
      </c>
      <c r="BU256" s="574"/>
      <c r="BV256" s="574">
        <v>0</v>
      </c>
      <c r="BW256" s="574">
        <v>0</v>
      </c>
      <c r="BX256" s="574">
        <v>0</v>
      </c>
      <c r="BY256" s="574"/>
      <c r="BZ256" s="574"/>
      <c r="CA256" s="557"/>
      <c r="CB256" s="578">
        <v>0</v>
      </c>
      <c r="CC256" s="578">
        <v>0</v>
      </c>
      <c r="CD256" s="578">
        <v>0</v>
      </c>
      <c r="CE256" s="578"/>
      <c r="CF256" s="578"/>
      <c r="CG256" s="574"/>
      <c r="CH256" s="574">
        <v>0</v>
      </c>
      <c r="CI256" s="574"/>
      <c r="CJ256" s="558">
        <v>0</v>
      </c>
      <c r="CK256" s="558">
        <v>0</v>
      </c>
      <c r="CL256" s="574">
        <v>0</v>
      </c>
      <c r="CM256" s="544">
        <v>133</v>
      </c>
      <c r="CN256" s="544">
        <v>110</v>
      </c>
      <c r="CP256" s="564">
        <v>29.4</v>
      </c>
      <c r="CQ256" s="564">
        <v>30.2</v>
      </c>
      <c r="CR256" s="589">
        <v>39364</v>
      </c>
      <c r="CS256" s="589">
        <v>39391</v>
      </c>
      <c r="CT256" s="565">
        <v>27</v>
      </c>
      <c r="CU256" s="566">
        <v>41718</v>
      </c>
      <c r="CV256" s="611">
        <v>0</v>
      </c>
      <c r="CW256" s="589"/>
      <c r="CX256" s="611">
        <v>0</v>
      </c>
      <c r="CY256" s="611">
        <v>0</v>
      </c>
      <c r="CZ256" s="611">
        <v>0</v>
      </c>
      <c r="DA256" s="589"/>
      <c r="DB256" s="611">
        <v>0</v>
      </c>
      <c r="DC256" s="589"/>
      <c r="DD256" s="611">
        <v>0</v>
      </c>
      <c r="DE256" s="589"/>
      <c r="DF256" s="611">
        <v>0</v>
      </c>
      <c r="DG256" s="589"/>
      <c r="DH256" s="589"/>
      <c r="DI256" s="588" t="s">
        <v>986</v>
      </c>
      <c r="DJ256" s="583">
        <v>0</v>
      </c>
      <c r="DK256" s="572"/>
      <c r="DL256" s="589"/>
      <c r="DM256" s="589"/>
      <c r="DN256" s="583"/>
      <c r="DO256" s="583"/>
      <c r="DP256" s="583"/>
      <c r="DQ256" s="583"/>
      <c r="DR256" s="583"/>
      <c r="DS256" s="583"/>
      <c r="DT256" s="583"/>
      <c r="DU256" s="583"/>
      <c r="DV256" s="571" t="b">
        <v>0</v>
      </c>
      <c r="DW256" s="540">
        <v>39371</v>
      </c>
      <c r="DX256" s="557" t="s">
        <v>1152</v>
      </c>
      <c r="DY256" s="557" t="s">
        <v>1153</v>
      </c>
      <c r="DZ256" s="557"/>
      <c r="EA256" s="557"/>
      <c r="EB256" s="557"/>
      <c r="EC256" s="557"/>
      <c r="ED256" s="557"/>
      <c r="EE256" s="557"/>
      <c r="EF256" s="557"/>
      <c r="EG256" s="557"/>
      <c r="EH256" s="557"/>
      <c r="EI256" s="557"/>
    </row>
    <row r="257" spans="1:139" s="48" customFormat="1" ht="39.75" customHeight="1">
      <c r="A257" s="60">
        <v>510</v>
      </c>
      <c r="B257" s="108">
        <v>39324</v>
      </c>
      <c r="C257" s="62">
        <v>39324.519444444442</v>
      </c>
      <c r="D257" s="612">
        <v>20239021</v>
      </c>
      <c r="E257" s="613" t="s">
        <v>1154</v>
      </c>
      <c r="F257" s="48" t="b">
        <v>0</v>
      </c>
      <c r="G257" s="48" t="s">
        <v>1487</v>
      </c>
      <c r="H257" s="147" t="s">
        <v>441</v>
      </c>
      <c r="I257" s="614">
        <v>18392</v>
      </c>
      <c r="J257" s="142">
        <v>57.347945205479455</v>
      </c>
      <c r="K257" s="85">
        <v>688.09993425378036</v>
      </c>
      <c r="L257" s="138" t="s">
        <v>493</v>
      </c>
      <c r="M257" s="495" t="s">
        <v>1155</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497"/>
      <c r="AK257" s="324">
        <f t="shared" si="6"/>
        <v>0</v>
      </c>
      <c r="AL257" s="495"/>
      <c r="AM257" s="498"/>
      <c r="AN257" s="138"/>
      <c r="AO257" s="61"/>
      <c r="AP257" s="143"/>
      <c r="AQ257" s="498"/>
      <c r="AR257" s="138"/>
      <c r="AS257" s="138"/>
      <c r="AT257" s="497"/>
      <c r="AU257" s="138"/>
      <c r="AV257" s="138"/>
      <c r="AW257" s="138"/>
      <c r="AX257" s="138" t="s">
        <v>1156</v>
      </c>
      <c r="AY257" s="138"/>
      <c r="AZ257" s="138"/>
      <c r="BB257" s="82"/>
      <c r="BC257" s="82"/>
      <c r="BD257" s="82"/>
      <c r="BE257" s="82"/>
      <c r="BF257" s="235"/>
      <c r="BG257" s="767"/>
      <c r="BH257" s="767"/>
      <c r="BI257" s="228"/>
      <c r="BJ257" s="138"/>
      <c r="BK257" s="138"/>
      <c r="BL257" s="138"/>
      <c r="BM257" s="138"/>
      <c r="BN257" s="138"/>
      <c r="BO257" s="138"/>
      <c r="BP257" s="138"/>
      <c r="BQ257" s="138"/>
      <c r="BR257" s="138"/>
      <c r="BS257" s="247"/>
      <c r="BT257" s="228" t="s">
        <v>174</v>
      </c>
      <c r="BU257" s="138"/>
      <c r="BV257" s="138"/>
      <c r="BW257" s="138"/>
      <c r="BX257" s="138"/>
      <c r="BY257" s="138"/>
      <c r="BZ257" s="138"/>
      <c r="CA257" s="138"/>
      <c r="CB257" s="138"/>
      <c r="CC257" s="138"/>
      <c r="CD257" s="138"/>
      <c r="CE257" s="138"/>
      <c r="CF257" s="615"/>
      <c r="CG257" s="138"/>
      <c r="CH257" s="138"/>
      <c r="CI257" s="138"/>
      <c r="CJ257" s="82">
        <v>0</v>
      </c>
      <c r="CK257" s="82">
        <v>0</v>
      </c>
      <c r="CL257" s="138"/>
      <c r="CP257" s="505"/>
      <c r="CQ257" s="505"/>
      <c r="CR257" s="148">
        <v>39321.59097222222</v>
      </c>
      <c r="CS257" s="148">
        <v>39352</v>
      </c>
      <c r="CT257" s="83">
        <v>28</v>
      </c>
      <c r="CU257" s="84"/>
      <c r="CV257" s="616"/>
      <c r="CW257" s="614"/>
      <c r="CX257" s="616"/>
      <c r="CY257" s="616"/>
      <c r="CZ257" s="616"/>
      <c r="DA257" s="614"/>
      <c r="DB257" s="616"/>
      <c r="DC257" s="614"/>
      <c r="DD257" s="616"/>
      <c r="DE257" s="614"/>
      <c r="DF257" s="616"/>
      <c r="DG257" s="614"/>
      <c r="DH257" s="614"/>
      <c r="DI257" s="146"/>
      <c r="DJ257" s="147">
        <v>0</v>
      </c>
      <c r="DK257" s="155"/>
      <c r="DL257" s="614"/>
      <c r="DM257" s="614"/>
      <c r="DN257" s="147"/>
      <c r="DO257" s="147"/>
      <c r="DP257" s="147"/>
      <c r="DQ257" s="147"/>
      <c r="DR257" s="147"/>
      <c r="DS257" s="147"/>
      <c r="DT257" s="147"/>
      <c r="DU257" s="147"/>
      <c r="DV257" s="143" t="b">
        <v>0</v>
      </c>
      <c r="DW257" s="71"/>
      <c r="DX257" s="71"/>
      <c r="DY257" s="71"/>
      <c r="DZ257" s="71"/>
      <c r="EA257" s="71"/>
      <c r="EB257" s="71"/>
      <c r="EC257" s="71"/>
      <c r="ED257" s="71"/>
      <c r="EE257" s="71"/>
      <c r="EF257" s="71"/>
      <c r="EG257" s="71"/>
      <c r="EH257" s="71"/>
      <c r="EI257" s="71"/>
    </row>
    <row r="258" spans="1:139" s="544" customFormat="1" ht="39.75" customHeight="1">
      <c r="A258" s="539">
        <v>511</v>
      </c>
      <c r="B258" s="540">
        <v>39296</v>
      </c>
      <c r="C258" s="541">
        <v>39296.598611111112</v>
      </c>
      <c r="D258" s="600">
        <v>20222096</v>
      </c>
      <c r="E258" s="601" t="s">
        <v>1157</v>
      </c>
      <c r="F258" s="544" t="b">
        <v>1</v>
      </c>
      <c r="H258" s="583" t="s">
        <v>418</v>
      </c>
      <c r="I258" s="602">
        <v>22576</v>
      </c>
      <c r="J258" s="570">
        <v>45.80821917808219</v>
      </c>
      <c r="K258" s="546">
        <v>549.63839579224191</v>
      </c>
      <c r="L258" s="574" t="s">
        <v>876</v>
      </c>
      <c r="M258" s="547" t="s">
        <v>1158</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v>0</v>
      </c>
      <c r="AK258" s="552">
        <f t="shared" si="6"/>
        <v>0</v>
      </c>
      <c r="AL258" s="553" t="s">
        <v>2105</v>
      </c>
      <c r="AM258" s="554">
        <v>39288</v>
      </c>
      <c r="AN258" s="549" t="s">
        <v>2006</v>
      </c>
      <c r="AO258" s="555">
        <v>39338</v>
      </c>
      <c r="AP258" s="539" t="s">
        <v>223</v>
      </c>
      <c r="AQ258" s="554"/>
      <c r="AR258" s="549">
        <v>0</v>
      </c>
      <c r="AS258" s="549"/>
      <c r="AT258" s="552">
        <v>0</v>
      </c>
      <c r="AU258" s="549">
        <v>0</v>
      </c>
      <c r="AV258" s="549">
        <v>1</v>
      </c>
      <c r="AW258" s="549">
        <v>1</v>
      </c>
      <c r="AX258" s="574" t="s">
        <v>1159</v>
      </c>
      <c r="AY258" s="574"/>
      <c r="AZ258" s="574" t="s">
        <v>2103</v>
      </c>
      <c r="BA258" s="544">
        <v>0</v>
      </c>
      <c r="BB258" s="558">
        <v>1</v>
      </c>
      <c r="BC258" s="558">
        <v>7</v>
      </c>
      <c r="BD258" s="558">
        <v>0</v>
      </c>
      <c r="BE258" s="558">
        <v>0</v>
      </c>
      <c r="BF258" s="559">
        <v>0</v>
      </c>
      <c r="BG258" s="771">
        <v>1</v>
      </c>
      <c r="BH258" s="771" t="s">
        <v>2004</v>
      </c>
      <c r="BI258" s="573">
        <v>1</v>
      </c>
      <c r="BJ258" s="574"/>
      <c r="BK258" s="574">
        <v>0</v>
      </c>
      <c r="BL258" s="574"/>
      <c r="BM258" s="574">
        <v>1</v>
      </c>
      <c r="BN258" s="574" t="s">
        <v>2106</v>
      </c>
      <c r="BO258" s="574">
        <v>1</v>
      </c>
      <c r="BP258" s="574">
        <v>0</v>
      </c>
      <c r="BQ258" s="574">
        <v>0</v>
      </c>
      <c r="BR258" s="574">
        <v>0</v>
      </c>
      <c r="BS258" s="562">
        <v>0</v>
      </c>
      <c r="BT258" s="573">
        <v>0</v>
      </c>
      <c r="BU258" s="574"/>
      <c r="BV258" s="574">
        <v>0</v>
      </c>
      <c r="BW258" s="574">
        <v>0</v>
      </c>
      <c r="BX258" s="574">
        <v>0</v>
      </c>
      <c r="BY258" s="574"/>
      <c r="BZ258" s="574"/>
      <c r="CA258" s="557"/>
      <c r="CB258" s="578">
        <v>0</v>
      </c>
      <c r="CC258" s="578">
        <v>0</v>
      </c>
      <c r="CD258" s="578">
        <v>0</v>
      </c>
      <c r="CE258" s="578"/>
      <c r="CF258" s="578"/>
      <c r="CG258" s="574"/>
      <c r="CH258" s="574">
        <v>0</v>
      </c>
      <c r="CI258" s="574"/>
      <c r="CJ258" s="558">
        <v>0</v>
      </c>
      <c r="CK258" s="558">
        <v>0</v>
      </c>
      <c r="CL258" s="574">
        <v>0</v>
      </c>
      <c r="CM258" s="544">
        <v>126</v>
      </c>
      <c r="CN258" s="544">
        <v>43</v>
      </c>
      <c r="CP258" s="564">
        <v>25.3</v>
      </c>
      <c r="CQ258" s="564">
        <v>26.1</v>
      </c>
      <c r="CR258" s="589">
        <v>39294.945138888892</v>
      </c>
      <c r="CS258" s="589">
        <v>39314</v>
      </c>
      <c r="CT258" s="565">
        <v>18</v>
      </c>
      <c r="CU258" s="566">
        <v>39330</v>
      </c>
      <c r="CV258" s="611">
        <v>0</v>
      </c>
      <c r="CW258" s="602"/>
      <c r="CX258" s="611">
        <v>0</v>
      </c>
      <c r="CY258" s="611">
        <v>0</v>
      </c>
      <c r="CZ258" s="611">
        <v>0</v>
      </c>
      <c r="DA258" s="602"/>
      <c r="DB258" s="611">
        <v>0</v>
      </c>
      <c r="DC258" s="602"/>
      <c r="DD258" s="611">
        <v>0</v>
      </c>
      <c r="DE258" s="602"/>
      <c r="DF258" s="611">
        <v>0</v>
      </c>
      <c r="DG258" s="602"/>
      <c r="DH258" s="602"/>
      <c r="DI258" s="588"/>
      <c r="DJ258" s="583">
        <v>0</v>
      </c>
      <c r="DK258" s="572"/>
      <c r="DL258" s="602"/>
      <c r="DM258" s="602"/>
      <c r="DN258" s="583"/>
      <c r="DO258" s="583"/>
      <c r="DP258" s="583"/>
      <c r="DQ258" s="583"/>
      <c r="DR258" s="583"/>
      <c r="DS258" s="583"/>
      <c r="DT258" s="583"/>
      <c r="DU258" s="583" t="s">
        <v>1160</v>
      </c>
      <c r="DV258" s="571" t="b">
        <v>0</v>
      </c>
      <c r="DW258" s="557"/>
      <c r="DX258" s="557"/>
      <c r="DY258" s="557"/>
      <c r="DZ258" s="557"/>
      <c r="EA258" s="557"/>
      <c r="EB258" s="557"/>
      <c r="EC258" s="557"/>
      <c r="ED258" s="557"/>
      <c r="EE258" s="557"/>
      <c r="EF258" s="557"/>
      <c r="EG258" s="557"/>
      <c r="EH258" s="557"/>
      <c r="EI258" s="557"/>
    </row>
    <row r="259" spans="1:139" s="544" customFormat="1" ht="39.75" customHeight="1">
      <c r="A259" s="539">
        <v>513</v>
      </c>
      <c r="B259" s="540">
        <v>39286</v>
      </c>
      <c r="C259" s="541">
        <v>39286.753472222219</v>
      </c>
      <c r="D259" s="600">
        <v>20173518</v>
      </c>
      <c r="E259" s="601" t="s">
        <v>1161</v>
      </c>
      <c r="F259" s="544" t="b">
        <v>1</v>
      </c>
      <c r="H259" s="583" t="s">
        <v>441</v>
      </c>
      <c r="I259" s="602">
        <v>15599</v>
      </c>
      <c r="J259" s="570">
        <v>64.895890410958899</v>
      </c>
      <c r="K259" s="546">
        <v>778.66535174227477</v>
      </c>
      <c r="L259" s="605" t="s">
        <v>442</v>
      </c>
      <c r="M259" s="603" t="s">
        <v>1162</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607">
        <v>1</v>
      </c>
      <c r="AK259" s="552">
        <f t="shared" ref="AK259:AK322" si="8">IF(P259&gt;25,1,0)</f>
        <v>0</v>
      </c>
      <c r="AL259" s="603" t="s">
        <v>2110</v>
      </c>
      <c r="AM259" s="604">
        <v>39282</v>
      </c>
      <c r="AN259" s="605" t="s">
        <v>2107</v>
      </c>
      <c r="AO259" s="555"/>
      <c r="AP259" s="608" t="s">
        <v>2108</v>
      </c>
      <c r="AQ259" s="604">
        <v>39281</v>
      </c>
      <c r="AR259" s="605">
        <v>0</v>
      </c>
      <c r="AS259" s="605"/>
      <c r="AT259" s="607">
        <v>0</v>
      </c>
      <c r="AU259" s="605">
        <v>1</v>
      </c>
      <c r="AV259" s="605">
        <v>0</v>
      </c>
      <c r="AW259" s="605">
        <v>1</v>
      </c>
      <c r="AX259" s="574" t="s">
        <v>1163</v>
      </c>
      <c r="AY259" s="605"/>
      <c r="AZ259" s="605" t="s">
        <v>2096</v>
      </c>
      <c r="BA259" s="544">
        <v>0</v>
      </c>
      <c r="BB259" s="558">
        <v>1</v>
      </c>
      <c r="BC259" s="558"/>
      <c r="BD259" s="558">
        <v>0</v>
      </c>
      <c r="BE259" s="558">
        <v>0</v>
      </c>
      <c r="BF259" s="559">
        <v>0</v>
      </c>
      <c r="BG259" s="771">
        <v>1</v>
      </c>
      <c r="BH259" s="771" t="s">
        <v>2004</v>
      </c>
      <c r="BI259" s="609">
        <v>0</v>
      </c>
      <c r="BJ259" s="605"/>
      <c r="BK259" s="605">
        <v>0</v>
      </c>
      <c r="BL259" s="605"/>
      <c r="BM259" s="605">
        <v>0</v>
      </c>
      <c r="BN259" s="605"/>
      <c r="BO259" s="605">
        <v>0</v>
      </c>
      <c r="BP259" s="605">
        <v>0</v>
      </c>
      <c r="BQ259" s="605">
        <v>0</v>
      </c>
      <c r="BR259" s="605">
        <v>0</v>
      </c>
      <c r="BS259" s="610">
        <v>0</v>
      </c>
      <c r="BT259" s="609">
        <v>1</v>
      </c>
      <c r="BU259" s="605" t="s">
        <v>2109</v>
      </c>
      <c r="BV259" s="605">
        <v>0</v>
      </c>
      <c r="BW259" s="605">
        <v>0</v>
      </c>
      <c r="BX259" s="605">
        <v>0</v>
      </c>
      <c r="BY259" s="605"/>
      <c r="BZ259" s="605"/>
      <c r="CA259" s="605"/>
      <c r="CB259" s="605">
        <v>0</v>
      </c>
      <c r="CC259" s="605">
        <v>0</v>
      </c>
      <c r="CD259" s="605">
        <v>0</v>
      </c>
      <c r="CE259" s="605"/>
      <c r="CF259" s="605"/>
      <c r="CG259" s="605"/>
      <c r="CH259" s="605">
        <v>0</v>
      </c>
      <c r="CI259" s="605"/>
      <c r="CJ259" s="558">
        <v>0</v>
      </c>
      <c r="CK259" s="558">
        <v>0</v>
      </c>
      <c r="CL259" s="605">
        <v>0</v>
      </c>
      <c r="CM259" s="544">
        <v>151</v>
      </c>
      <c r="CN259" s="544">
        <v>131</v>
      </c>
      <c r="CP259" s="564">
        <v>27</v>
      </c>
      <c r="CQ259" s="564">
        <v>28.5</v>
      </c>
      <c r="CR259" s="589">
        <v>39286</v>
      </c>
      <c r="CS259" s="589">
        <v>39296</v>
      </c>
      <c r="CT259" s="565">
        <v>10</v>
      </c>
      <c r="CU259" s="566">
        <v>39717</v>
      </c>
      <c r="CV259" s="611">
        <v>0</v>
      </c>
      <c r="CW259" s="589"/>
      <c r="CX259" s="611">
        <v>0</v>
      </c>
      <c r="CY259" s="611">
        <v>0</v>
      </c>
      <c r="CZ259" s="611">
        <v>0</v>
      </c>
      <c r="DA259" s="589"/>
      <c r="DB259" s="611">
        <v>1</v>
      </c>
      <c r="DC259" s="589">
        <v>39675</v>
      </c>
      <c r="DD259" s="611">
        <v>0</v>
      </c>
      <c r="DE259" s="589"/>
      <c r="DF259" s="611">
        <v>0</v>
      </c>
      <c r="DG259" s="589"/>
      <c r="DH259" s="589"/>
      <c r="DI259" s="588" t="s">
        <v>986</v>
      </c>
      <c r="DJ259" s="583">
        <v>0</v>
      </c>
      <c r="DK259" s="572"/>
      <c r="DL259" s="589"/>
      <c r="DM259" s="589"/>
      <c r="DN259" s="583"/>
      <c r="DO259" s="583"/>
      <c r="DP259" s="583"/>
      <c r="DQ259" s="583"/>
      <c r="DR259" s="583"/>
      <c r="DS259" s="583"/>
      <c r="DT259" s="583"/>
      <c r="DU259" s="583" t="s">
        <v>1160</v>
      </c>
      <c r="DV259" s="571" t="b">
        <v>0</v>
      </c>
      <c r="DW259" s="557"/>
      <c r="DX259" s="557"/>
      <c r="DY259" s="557"/>
      <c r="DZ259" s="557"/>
      <c r="EA259" s="557"/>
      <c r="EB259" s="557"/>
      <c r="EC259" s="557"/>
      <c r="ED259" s="557"/>
      <c r="EE259" s="557"/>
      <c r="EF259" s="557"/>
      <c r="EG259" s="557"/>
      <c r="EH259" s="557"/>
      <c r="EI259" s="557"/>
    </row>
    <row r="260" spans="1:139" s="544" customFormat="1" ht="39.75" customHeight="1">
      <c r="A260" s="539">
        <v>517</v>
      </c>
      <c r="B260" s="540">
        <v>39160</v>
      </c>
      <c r="C260" s="541">
        <v>39160.527777777781</v>
      </c>
      <c r="D260" s="600">
        <v>19574977</v>
      </c>
      <c r="E260" s="601" t="s">
        <v>1164</v>
      </c>
      <c r="F260" s="544" t="b">
        <v>1</v>
      </c>
      <c r="H260" s="583" t="s">
        <v>418</v>
      </c>
      <c r="I260" s="602">
        <v>19821</v>
      </c>
      <c r="J260" s="570">
        <v>52.983561643835614</v>
      </c>
      <c r="K260" s="546">
        <v>635.73307034845493</v>
      </c>
      <c r="L260" s="605" t="s">
        <v>493</v>
      </c>
      <c r="M260" s="603" t="s">
        <v>1165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607">
        <v>0</v>
      </c>
      <c r="AK260" s="552">
        <f t="shared" si="8"/>
        <v>0</v>
      </c>
      <c r="AL260" s="603"/>
      <c r="AM260" s="604">
        <v>39154</v>
      </c>
      <c r="AN260" s="605" t="s">
        <v>1598</v>
      </c>
      <c r="AO260" s="555">
        <v>39913</v>
      </c>
      <c r="AP260" s="608" t="s">
        <v>2111</v>
      </c>
      <c r="AQ260" s="604">
        <v>39150</v>
      </c>
      <c r="AR260" s="605">
        <v>0</v>
      </c>
      <c r="AS260" s="605"/>
      <c r="AT260" s="607">
        <v>0</v>
      </c>
      <c r="AU260" s="605">
        <v>1</v>
      </c>
      <c r="AV260" s="605">
        <v>0</v>
      </c>
      <c r="AW260" s="605">
        <v>1</v>
      </c>
      <c r="AX260" s="574" t="s">
        <v>1166</v>
      </c>
      <c r="AY260" s="605"/>
      <c r="AZ260" s="605" t="s">
        <v>1503</v>
      </c>
      <c r="BA260" s="544">
        <v>0</v>
      </c>
      <c r="BB260" s="558">
        <v>1</v>
      </c>
      <c r="BC260" s="558"/>
      <c r="BD260" s="558">
        <v>1</v>
      </c>
      <c r="BE260" s="558">
        <v>0</v>
      </c>
      <c r="BF260" s="559">
        <v>0</v>
      </c>
      <c r="BG260" s="771">
        <v>0</v>
      </c>
      <c r="BH260" s="771"/>
      <c r="BI260" s="609">
        <v>0</v>
      </c>
      <c r="BJ260" s="605"/>
      <c r="BK260" s="605">
        <v>0</v>
      </c>
      <c r="BL260" s="605"/>
      <c r="BM260" s="605">
        <v>0</v>
      </c>
      <c r="BN260" s="605"/>
      <c r="BO260" s="605">
        <v>0</v>
      </c>
      <c r="BP260" s="605">
        <v>0</v>
      </c>
      <c r="BQ260" s="605">
        <v>0</v>
      </c>
      <c r="BR260" s="605">
        <v>0</v>
      </c>
      <c r="BS260" s="610">
        <v>0</v>
      </c>
      <c r="BT260" s="560">
        <v>1</v>
      </c>
      <c r="BU260" s="561" t="s">
        <v>2112</v>
      </c>
      <c r="BV260" s="561">
        <v>0</v>
      </c>
      <c r="BW260" s="561">
        <v>0</v>
      </c>
      <c r="BX260" s="605">
        <v>0</v>
      </c>
      <c r="BY260" s="605"/>
      <c r="BZ260" s="605"/>
      <c r="CA260" s="605"/>
      <c r="CB260" s="605">
        <v>0</v>
      </c>
      <c r="CC260" s="605">
        <v>0</v>
      </c>
      <c r="CD260" s="605">
        <v>0</v>
      </c>
      <c r="CE260" s="605"/>
      <c r="CF260" s="605"/>
      <c r="CG260" s="605"/>
      <c r="CH260" s="605">
        <v>0</v>
      </c>
      <c r="CI260" s="605"/>
      <c r="CJ260" s="558">
        <v>0</v>
      </c>
      <c r="CK260" s="558">
        <v>0</v>
      </c>
      <c r="CL260" s="605">
        <v>0</v>
      </c>
      <c r="CM260" s="544">
        <v>79</v>
      </c>
      <c r="CN260" s="544">
        <v>64</v>
      </c>
      <c r="CP260" s="564">
        <v>29.5</v>
      </c>
      <c r="CQ260" s="564">
        <v>30.5</v>
      </c>
      <c r="CR260" s="589">
        <v>39152.808333333334</v>
      </c>
      <c r="CS260" s="589">
        <v>39183</v>
      </c>
      <c r="CT260" s="565">
        <v>23</v>
      </c>
      <c r="CU260" s="566">
        <v>43634</v>
      </c>
      <c r="CV260" s="611">
        <v>0</v>
      </c>
      <c r="CW260" s="602"/>
      <c r="CX260" s="611">
        <v>0</v>
      </c>
      <c r="CY260" s="611">
        <v>0</v>
      </c>
      <c r="CZ260" s="611">
        <v>0</v>
      </c>
      <c r="DA260" s="602"/>
      <c r="DB260" s="611">
        <v>0</v>
      </c>
      <c r="DC260" s="602"/>
      <c r="DD260" s="611">
        <v>0</v>
      </c>
      <c r="DE260" s="602"/>
      <c r="DF260" s="611">
        <v>0</v>
      </c>
      <c r="DG260" s="602"/>
      <c r="DH260" s="602"/>
      <c r="DI260" s="588"/>
      <c r="DJ260" s="583">
        <v>0</v>
      </c>
      <c r="DK260" s="572"/>
      <c r="DL260" s="602"/>
      <c r="DM260" s="602"/>
      <c r="DN260" s="583"/>
      <c r="DO260" s="583"/>
      <c r="DP260" s="583"/>
      <c r="DQ260" s="583"/>
      <c r="DR260" s="583"/>
      <c r="DS260" s="583"/>
      <c r="DT260" s="583"/>
      <c r="DU260" s="583"/>
      <c r="DV260" s="571" t="b">
        <v>0</v>
      </c>
      <c r="DW260" s="540">
        <v>39164</v>
      </c>
      <c r="DX260" s="557" t="s">
        <v>1167</v>
      </c>
      <c r="DY260" s="557" t="s">
        <v>1168</v>
      </c>
      <c r="DZ260" s="557"/>
      <c r="EA260" s="557"/>
      <c r="EB260" s="557"/>
      <c r="EC260" s="557"/>
      <c r="ED260" s="557"/>
      <c r="EE260" s="557"/>
      <c r="EF260" s="557"/>
      <c r="EG260" s="557"/>
      <c r="EH260" s="557"/>
      <c r="EI260" s="557"/>
    </row>
    <row r="261" spans="1:139" s="544" customFormat="1" ht="39.75" customHeight="1">
      <c r="A261" s="539">
        <v>518</v>
      </c>
      <c r="B261" s="540">
        <v>39127</v>
      </c>
      <c r="C261" s="541">
        <v>39127.885416666664</v>
      </c>
      <c r="D261" s="600">
        <v>5843229</v>
      </c>
      <c r="E261" s="601" t="s">
        <v>1169</v>
      </c>
      <c r="F261" s="544" t="b">
        <v>1</v>
      </c>
      <c r="H261" s="583" t="s">
        <v>441</v>
      </c>
      <c r="I261" s="602">
        <v>11633</v>
      </c>
      <c r="J261" s="570">
        <v>75.326027397260276</v>
      </c>
      <c r="K261" s="546">
        <v>903.81328073635757</v>
      </c>
      <c r="L261" s="574" t="s">
        <v>500</v>
      </c>
      <c r="M261" s="547" t="s">
        <v>1170</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77">
        <v>0</v>
      </c>
      <c r="AK261" s="552">
        <f t="shared" si="8"/>
        <v>0</v>
      </c>
      <c r="AL261" s="547"/>
      <c r="AM261" s="575">
        <v>39124</v>
      </c>
      <c r="AN261" s="574" t="s">
        <v>1525</v>
      </c>
      <c r="AO261" s="555">
        <v>39899</v>
      </c>
      <c r="AP261" s="571" t="s">
        <v>1489</v>
      </c>
      <c r="AQ261" s="575">
        <v>39123</v>
      </c>
      <c r="AR261" s="574">
        <v>1</v>
      </c>
      <c r="AS261" s="574" t="s">
        <v>1518</v>
      </c>
      <c r="AT261" s="577">
        <v>0</v>
      </c>
      <c r="AU261" s="574">
        <v>0</v>
      </c>
      <c r="AV261" s="574">
        <v>0</v>
      </c>
      <c r="AW261" s="574">
        <v>1</v>
      </c>
      <c r="AX261" s="574" t="s">
        <v>1172</v>
      </c>
      <c r="AY261" s="574"/>
      <c r="AZ261" s="574" t="s">
        <v>1507</v>
      </c>
      <c r="BA261" s="544">
        <v>0</v>
      </c>
      <c r="BB261" s="558">
        <v>1</v>
      </c>
      <c r="BC261" s="558"/>
      <c r="BD261" s="558">
        <v>0</v>
      </c>
      <c r="BE261" s="558">
        <v>1</v>
      </c>
      <c r="BF261" s="559">
        <v>0</v>
      </c>
      <c r="BG261" s="771">
        <v>1</v>
      </c>
      <c r="BH261" s="771" t="s">
        <v>2004</v>
      </c>
      <c r="BI261" s="573">
        <v>0</v>
      </c>
      <c r="BJ261" s="574"/>
      <c r="BK261" s="574">
        <v>0</v>
      </c>
      <c r="BL261" s="574"/>
      <c r="BM261" s="574">
        <v>0</v>
      </c>
      <c r="BN261" s="574"/>
      <c r="BO261" s="574">
        <v>0</v>
      </c>
      <c r="BP261" s="574">
        <v>0</v>
      </c>
      <c r="BQ261" s="574">
        <v>0</v>
      </c>
      <c r="BR261" s="574">
        <v>0</v>
      </c>
      <c r="BS261" s="562">
        <v>0</v>
      </c>
      <c r="BT261" s="573">
        <v>1</v>
      </c>
      <c r="BU261" s="574" t="s">
        <v>2114</v>
      </c>
      <c r="BV261" s="574">
        <v>0</v>
      </c>
      <c r="BW261" s="574">
        <v>0</v>
      </c>
      <c r="BX261" s="574">
        <v>0</v>
      </c>
      <c r="BY261" s="574"/>
      <c r="BZ261" s="574"/>
      <c r="CA261" s="574"/>
      <c r="CB261" s="574">
        <v>0</v>
      </c>
      <c r="CC261" s="574">
        <v>1</v>
      </c>
      <c r="CD261" s="574">
        <v>0</v>
      </c>
      <c r="CE261" s="574"/>
      <c r="CF261" s="574" t="s">
        <v>1494</v>
      </c>
      <c r="CG261" s="574" t="s">
        <v>2115</v>
      </c>
      <c r="CH261" s="574">
        <v>0</v>
      </c>
      <c r="CI261" s="574"/>
      <c r="CJ261" s="558">
        <v>0</v>
      </c>
      <c r="CK261" s="558">
        <v>0</v>
      </c>
      <c r="CL261" s="574">
        <v>0</v>
      </c>
      <c r="CM261" s="544">
        <v>202</v>
      </c>
      <c r="CN261" s="544">
        <v>170</v>
      </c>
      <c r="CP261" s="564">
        <v>25.5</v>
      </c>
      <c r="CQ261" s="564">
        <v>25.8</v>
      </c>
      <c r="CR261" s="589">
        <v>39122.676388888889</v>
      </c>
      <c r="CS261" s="589">
        <v>39186</v>
      </c>
      <c r="CT261" s="565">
        <v>59</v>
      </c>
      <c r="CU261" s="566">
        <v>39539</v>
      </c>
      <c r="CV261" s="611">
        <v>0</v>
      </c>
      <c r="CW261" s="602"/>
      <c r="CX261" s="611">
        <v>0</v>
      </c>
      <c r="CY261" s="611">
        <v>0</v>
      </c>
      <c r="CZ261" s="611">
        <v>0</v>
      </c>
      <c r="DA261" s="602"/>
      <c r="DB261" s="611">
        <v>0</v>
      </c>
      <c r="DC261" s="602"/>
      <c r="DD261" s="611">
        <v>0</v>
      </c>
      <c r="DE261" s="602"/>
      <c r="DF261" s="611">
        <v>0</v>
      </c>
      <c r="DG261" s="602"/>
      <c r="DH261" s="602"/>
      <c r="DI261" s="588"/>
      <c r="DJ261" s="583">
        <v>0</v>
      </c>
      <c r="DK261" s="572"/>
      <c r="DL261" s="602"/>
      <c r="DM261" s="602"/>
      <c r="DN261" s="583"/>
      <c r="DO261" s="583"/>
      <c r="DP261" s="583"/>
      <c r="DQ261" s="583"/>
      <c r="DR261" s="583"/>
      <c r="DS261" s="583"/>
      <c r="DT261" s="583"/>
      <c r="DU261" s="583" t="s">
        <v>1160</v>
      </c>
      <c r="DV261" s="571" t="b">
        <v>0</v>
      </c>
      <c r="DW261" s="557"/>
      <c r="DX261" s="557"/>
      <c r="DY261" s="557"/>
      <c r="DZ261" s="557"/>
      <c r="EA261" s="557"/>
      <c r="EB261" s="557"/>
      <c r="EC261" s="557"/>
      <c r="ED261" s="557"/>
      <c r="EE261" s="557"/>
      <c r="EF261" s="557"/>
      <c r="EG261" s="557"/>
      <c r="EH261" s="557"/>
      <c r="EI261" s="557"/>
    </row>
    <row r="262" spans="1:139" s="544" customFormat="1" ht="39.75" customHeight="1">
      <c r="A262" s="539">
        <v>519</v>
      </c>
      <c r="B262" s="540">
        <v>39119</v>
      </c>
      <c r="C262" s="541">
        <v>39119.765277777777</v>
      </c>
      <c r="D262" s="600">
        <v>19435470</v>
      </c>
      <c r="E262" s="601" t="s">
        <v>1173</v>
      </c>
      <c r="F262" s="544" t="b">
        <v>1</v>
      </c>
      <c r="H262" s="583" t="s">
        <v>418</v>
      </c>
      <c r="I262" s="602">
        <v>22960</v>
      </c>
      <c r="J262" s="570">
        <v>44.271232876712325</v>
      </c>
      <c r="K262" s="546">
        <v>531.19658119658118</v>
      </c>
      <c r="L262" s="574" t="s">
        <v>500</v>
      </c>
      <c r="M262" s="547" t="s">
        <v>1146</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v>0</v>
      </c>
      <c r="AK262" s="552">
        <f t="shared" si="8"/>
        <v>0</v>
      </c>
      <c r="AL262" s="553"/>
      <c r="AM262" s="554">
        <v>39118</v>
      </c>
      <c r="AN262" s="549" t="s">
        <v>1499</v>
      </c>
      <c r="AO262" s="555">
        <v>39145</v>
      </c>
      <c r="AP262" s="539" t="s">
        <v>849</v>
      </c>
      <c r="AQ262" s="554">
        <v>39111</v>
      </c>
      <c r="AR262" s="549">
        <v>0</v>
      </c>
      <c r="AS262" s="549"/>
      <c r="AT262" s="552">
        <v>0</v>
      </c>
      <c r="AU262" s="549">
        <v>0</v>
      </c>
      <c r="AV262" s="549">
        <v>0</v>
      </c>
      <c r="AW262" s="549">
        <v>1</v>
      </c>
      <c r="AX262" s="574" t="s">
        <v>1174</v>
      </c>
      <c r="AY262" s="574"/>
      <c r="AZ262" s="574" t="s">
        <v>1494</v>
      </c>
      <c r="BA262" s="544">
        <v>0</v>
      </c>
      <c r="BB262" s="558">
        <v>1</v>
      </c>
      <c r="BC262" s="558">
        <v>15</v>
      </c>
      <c r="BD262" s="558">
        <v>0</v>
      </c>
      <c r="BE262" s="558">
        <v>1</v>
      </c>
      <c r="BF262" s="559">
        <v>0</v>
      </c>
      <c r="BG262" s="771">
        <v>0</v>
      </c>
      <c r="BH262" s="771"/>
      <c r="BI262" s="573">
        <v>1</v>
      </c>
      <c r="BJ262" s="574"/>
      <c r="BK262" s="574">
        <v>0</v>
      </c>
      <c r="BL262" s="574"/>
      <c r="BM262" s="574">
        <v>1</v>
      </c>
      <c r="BN262" s="574" t="s">
        <v>2116</v>
      </c>
      <c r="BO262" s="574">
        <v>1</v>
      </c>
      <c r="BP262" s="574">
        <v>0</v>
      </c>
      <c r="BQ262" s="574">
        <v>0</v>
      </c>
      <c r="BR262" s="574">
        <v>0</v>
      </c>
      <c r="BS262" s="562">
        <v>0</v>
      </c>
      <c r="BT262" s="573">
        <v>0</v>
      </c>
      <c r="BU262" s="574"/>
      <c r="BV262" s="574">
        <v>0</v>
      </c>
      <c r="BW262" s="574">
        <v>0</v>
      </c>
      <c r="BX262" s="574">
        <v>0</v>
      </c>
      <c r="BY262" s="574"/>
      <c r="BZ262" s="574"/>
      <c r="CA262" s="557"/>
      <c r="CB262" s="578">
        <v>0</v>
      </c>
      <c r="CC262" s="578">
        <v>0</v>
      </c>
      <c r="CD262" s="578">
        <v>0</v>
      </c>
      <c r="CE262" s="578"/>
      <c r="CF262" s="578"/>
      <c r="CG262" s="574"/>
      <c r="CH262" s="574">
        <v>0</v>
      </c>
      <c r="CI262" s="574"/>
      <c r="CJ262" s="558">
        <v>0</v>
      </c>
      <c r="CK262" s="558">
        <v>0</v>
      </c>
      <c r="CL262" s="574">
        <v>0</v>
      </c>
      <c r="CM262" s="544">
        <v>75</v>
      </c>
      <c r="CN262" s="544">
        <v>63</v>
      </c>
      <c r="CP262" s="564">
        <v>29.8</v>
      </c>
      <c r="CQ262" s="564">
        <v>30.1</v>
      </c>
      <c r="CR262" s="589">
        <v>39118.626388888886</v>
      </c>
      <c r="CS262" s="589">
        <v>39135</v>
      </c>
      <c r="CT262" s="565">
        <v>16</v>
      </c>
      <c r="CU262" s="566">
        <v>41047</v>
      </c>
      <c r="CV262" s="611">
        <v>0</v>
      </c>
      <c r="CW262" s="602"/>
      <c r="CX262" s="611">
        <v>0</v>
      </c>
      <c r="CY262" s="611">
        <v>0</v>
      </c>
      <c r="CZ262" s="611">
        <v>0</v>
      </c>
      <c r="DA262" s="602"/>
      <c r="DB262" s="611">
        <v>0</v>
      </c>
      <c r="DC262" s="602"/>
      <c r="DD262" s="611">
        <v>0</v>
      </c>
      <c r="DE262" s="602"/>
      <c r="DF262" s="611">
        <v>0</v>
      </c>
      <c r="DG262" s="602"/>
      <c r="DH262" s="602"/>
      <c r="DI262" s="588" t="s">
        <v>986</v>
      </c>
      <c r="DJ262" s="583">
        <v>0</v>
      </c>
      <c r="DK262" s="572"/>
      <c r="DL262" s="602"/>
      <c r="DM262" s="602"/>
      <c r="DN262" s="583"/>
      <c r="DO262" s="583"/>
      <c r="DP262" s="583"/>
      <c r="DQ262" s="583"/>
      <c r="DR262" s="583"/>
      <c r="DS262" s="583"/>
      <c r="DT262" s="583"/>
      <c r="DU262" s="583" t="s">
        <v>1160</v>
      </c>
      <c r="DV262" s="571" t="b">
        <v>0</v>
      </c>
      <c r="DW262" s="557"/>
      <c r="DX262" s="557"/>
      <c r="DY262" s="557"/>
      <c r="DZ262" s="557"/>
      <c r="EA262" s="557"/>
      <c r="EB262" s="557"/>
      <c r="EC262" s="557"/>
      <c r="ED262" s="557"/>
      <c r="EE262" s="557"/>
      <c r="EF262" s="557"/>
      <c r="EG262" s="557"/>
      <c r="EH262" s="557"/>
      <c r="EI262" s="557"/>
    </row>
    <row r="263" spans="1:139" s="48" customFormat="1" ht="39.75" customHeight="1">
      <c r="A263" s="60">
        <v>523</v>
      </c>
      <c r="B263" s="149">
        <v>38957</v>
      </c>
      <c r="C263" s="62">
        <v>38957.857638888891</v>
      </c>
      <c r="D263" s="150">
        <v>17668359</v>
      </c>
      <c r="E263" s="151" t="s">
        <v>1175</v>
      </c>
      <c r="F263" s="48" t="b">
        <v>0</v>
      </c>
      <c r="G263" s="48" t="s">
        <v>1487</v>
      </c>
      <c r="H263" s="143" t="s">
        <v>441</v>
      </c>
      <c r="I263" s="152">
        <v>13737</v>
      </c>
      <c r="J263" s="153">
        <v>69.095890410958901</v>
      </c>
      <c r="K263" s="85">
        <v>829.05982905982899</v>
      </c>
      <c r="L263" s="143" t="s">
        <v>493</v>
      </c>
      <c r="M263" s="495" t="s">
        <v>1176</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c r="AK263" s="324">
        <f t="shared" si="8"/>
        <v>0</v>
      </c>
      <c r="AL263" s="187"/>
      <c r="AM263" s="191"/>
      <c r="AN263" s="51"/>
      <c r="AO263" s="61"/>
      <c r="AP263" s="60"/>
      <c r="AQ263" s="191"/>
      <c r="AR263" s="51"/>
      <c r="AS263" s="51"/>
      <c r="AT263" s="324"/>
      <c r="AU263" s="51"/>
      <c r="AV263" s="51"/>
      <c r="AW263" s="51"/>
      <c r="AX263" s="138" t="s">
        <v>1177</v>
      </c>
      <c r="AY263" s="138"/>
      <c r="AZ263" s="138"/>
      <c r="BB263" s="82"/>
      <c r="BC263" s="82" t="e">
        <v>#REF!</v>
      </c>
      <c r="BD263" s="82"/>
      <c r="BE263" s="82"/>
      <c r="BF263" s="235"/>
      <c r="BG263" s="767"/>
      <c r="BH263" s="767"/>
      <c r="BI263" s="228"/>
      <c r="BJ263" s="138"/>
      <c r="BK263" s="138"/>
      <c r="BL263" s="138"/>
      <c r="BM263" s="138"/>
      <c r="BN263" s="138"/>
      <c r="BO263" s="138"/>
      <c r="BP263" s="138"/>
      <c r="BQ263" s="138"/>
      <c r="BR263" s="138"/>
      <c r="BS263" s="247"/>
      <c r="BT263" s="228" t="s">
        <v>1171</v>
      </c>
      <c r="BU263" s="138"/>
      <c r="BV263" s="138"/>
      <c r="BW263" s="138"/>
      <c r="BX263" s="138"/>
      <c r="BY263" s="138"/>
      <c r="BZ263" s="138"/>
      <c r="CA263" s="71" t="e">
        <v>#REF!</v>
      </c>
      <c r="CB263" s="144"/>
      <c r="CC263" s="144"/>
      <c r="CD263" s="144"/>
      <c r="CE263" s="144"/>
      <c r="CF263" s="144"/>
      <c r="CG263" s="138"/>
      <c r="CH263" s="138"/>
      <c r="CI263" s="138"/>
      <c r="CJ263" s="82">
        <v>0</v>
      </c>
      <c r="CK263" s="82">
        <v>0</v>
      </c>
      <c r="CL263" s="138"/>
      <c r="CP263" s="505"/>
      <c r="CQ263" s="505"/>
      <c r="CR263" s="84">
        <v>38955</v>
      </c>
      <c r="CS263" s="84">
        <v>38980</v>
      </c>
      <c r="CT263" s="83">
        <v>23</v>
      </c>
      <c r="CU263" s="84"/>
      <c r="CV263" s="154"/>
      <c r="CW263" s="84"/>
      <c r="CX263" s="154"/>
      <c r="CY263" s="154"/>
      <c r="CZ263" s="154"/>
      <c r="DA263" s="84"/>
      <c r="DB263" s="154"/>
      <c r="DC263" s="84"/>
      <c r="DD263" s="154"/>
      <c r="DE263" s="84"/>
      <c r="DF263" s="154"/>
      <c r="DG263" s="84"/>
      <c r="DH263" s="84" t="s">
        <v>1178</v>
      </c>
      <c r="DI263" s="143"/>
      <c r="DJ263" s="138">
        <v>0</v>
      </c>
      <c r="DK263" s="155"/>
      <c r="DL263" s="82"/>
      <c r="DM263" s="82"/>
      <c r="DN263" s="143"/>
      <c r="DO263" s="143"/>
      <c r="DP263" s="143"/>
      <c r="DQ263" s="143"/>
      <c r="DR263" s="143"/>
      <c r="DS263" s="143"/>
      <c r="DT263" s="143"/>
      <c r="DU263" s="143" t="s">
        <v>1160</v>
      </c>
      <c r="DV263" s="143" t="b">
        <v>0</v>
      </c>
      <c r="DW263" s="143"/>
      <c r="DX263" s="143"/>
      <c r="DY263" s="143"/>
      <c r="DZ263" s="143"/>
      <c r="EA263" s="143"/>
      <c r="EB263" s="143"/>
      <c r="EC263" s="143"/>
      <c r="ED263" s="143"/>
      <c r="EE263" s="143"/>
      <c r="EF263" s="143"/>
      <c r="EG263" s="143"/>
      <c r="EH263" s="143"/>
      <c r="EI263" s="143"/>
    </row>
    <row r="264" spans="1:139" s="48" customFormat="1" ht="39.75" customHeight="1">
      <c r="A264" s="60">
        <v>526</v>
      </c>
      <c r="B264" s="149">
        <v>38934</v>
      </c>
      <c r="C264" s="62">
        <v>38934.462500000001</v>
      </c>
      <c r="D264" s="150">
        <v>18379894</v>
      </c>
      <c r="E264" s="151" t="s">
        <v>1179</v>
      </c>
      <c r="F264" s="48" t="b">
        <v>0</v>
      </c>
      <c r="G264" s="48" t="s">
        <v>1558</v>
      </c>
      <c r="H264" s="143" t="s">
        <v>418</v>
      </c>
      <c r="I264" s="152">
        <v>21286</v>
      </c>
      <c r="J264" s="153">
        <v>48.350684931506848</v>
      </c>
      <c r="K264" s="85">
        <v>580.14464168310315</v>
      </c>
      <c r="L264" s="145" t="s">
        <v>493</v>
      </c>
      <c r="M264" s="617" t="s">
        <v>1180</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620"/>
      <c r="AK264" s="324">
        <f t="shared" si="8"/>
        <v>0</v>
      </c>
      <c r="AL264" s="617"/>
      <c r="AM264" s="618"/>
      <c r="AN264" s="615"/>
      <c r="AO264" s="61"/>
      <c r="AP264" s="145"/>
      <c r="AQ264" s="618"/>
      <c r="AR264" s="615"/>
      <c r="AS264" s="615"/>
      <c r="AT264" s="620"/>
      <c r="AU264" s="615"/>
      <c r="AV264" s="615"/>
      <c r="AW264" s="615"/>
      <c r="AX264" s="138" t="s">
        <v>1181</v>
      </c>
      <c r="AY264" s="615"/>
      <c r="AZ264" s="615">
        <v>1</v>
      </c>
      <c r="BB264" s="82"/>
      <c r="BC264" s="82"/>
      <c r="BD264" s="82"/>
      <c r="BE264" s="82"/>
      <c r="BF264" s="235"/>
      <c r="BG264" s="767"/>
      <c r="BH264" s="767"/>
      <c r="BI264" s="621"/>
      <c r="BJ264" s="615"/>
      <c r="BK264" s="615"/>
      <c r="BL264" s="615"/>
      <c r="BM264" s="615"/>
      <c r="BN264" s="615"/>
      <c r="BO264" s="615"/>
      <c r="BP264" s="615"/>
      <c r="BQ264" s="615"/>
      <c r="BR264" s="615"/>
      <c r="BS264" s="622"/>
      <c r="BT264" s="621" t="s">
        <v>1171</v>
      </c>
      <c r="BU264" s="615"/>
      <c r="BV264" s="615"/>
      <c r="BW264" s="615"/>
      <c r="BX264" s="615"/>
      <c r="BY264" s="615"/>
      <c r="BZ264" s="615"/>
      <c r="CA264" s="615"/>
      <c r="CB264" s="615"/>
      <c r="CC264" s="615"/>
      <c r="CD264" s="615"/>
      <c r="CE264" s="615"/>
      <c r="CF264" s="615"/>
      <c r="CG264" s="615"/>
      <c r="CH264" s="615"/>
      <c r="CI264" s="615"/>
      <c r="CJ264" s="82">
        <v>0</v>
      </c>
      <c r="CK264" s="82">
        <v>0</v>
      </c>
      <c r="CL264" s="615"/>
      <c r="CP264" s="505"/>
      <c r="CQ264" s="505"/>
      <c r="CR264" s="84">
        <v>38933</v>
      </c>
      <c r="CS264" s="84">
        <v>38950</v>
      </c>
      <c r="CT264" s="83">
        <v>16</v>
      </c>
      <c r="CU264" s="84"/>
      <c r="CV264" s="154"/>
      <c r="CW264" s="84"/>
      <c r="CX264" s="154"/>
      <c r="CY264" s="154"/>
      <c r="CZ264" s="154"/>
      <c r="DA264" s="84"/>
      <c r="DB264" s="154"/>
      <c r="DC264" s="84"/>
      <c r="DD264" s="154"/>
      <c r="DE264" s="84"/>
      <c r="DF264" s="154"/>
      <c r="DG264" s="84"/>
      <c r="DH264" s="84"/>
      <c r="DI264" s="143"/>
      <c r="DJ264" s="138">
        <v>0</v>
      </c>
      <c r="DK264" s="155"/>
      <c r="DL264" s="82"/>
      <c r="DM264" s="82"/>
      <c r="DN264" s="143"/>
      <c r="DO264" s="143"/>
      <c r="DP264" s="143"/>
      <c r="DQ264" s="143"/>
      <c r="DR264" s="143"/>
      <c r="DS264" s="143"/>
      <c r="DT264" s="143"/>
      <c r="DU264" s="143" t="s">
        <v>1160</v>
      </c>
      <c r="DV264" s="143" t="b">
        <v>0</v>
      </c>
      <c r="DW264" s="143"/>
      <c r="DX264" s="143"/>
      <c r="DY264" s="143"/>
      <c r="DZ264" s="143"/>
      <c r="EA264" s="143"/>
      <c r="EB264" s="143"/>
      <c r="EC264" s="143"/>
      <c r="ED264" s="143"/>
      <c r="EE264" s="143"/>
      <c r="EF264" s="143"/>
      <c r="EG264" s="143" t="s">
        <v>1160</v>
      </c>
      <c r="EH264" s="143"/>
      <c r="EI264" s="143"/>
    </row>
    <row r="265" spans="1:139" s="544" customFormat="1" ht="39.75" customHeight="1">
      <c r="A265" s="539">
        <v>528</v>
      </c>
      <c r="B265" s="623">
        <v>38918</v>
      </c>
      <c r="C265" s="541">
        <v>38918.296527777777</v>
      </c>
      <c r="D265" s="624">
        <v>5155511</v>
      </c>
      <c r="E265" s="625" t="s">
        <v>1182</v>
      </c>
      <c r="F265" s="544" t="b">
        <v>1</v>
      </c>
      <c r="H265" s="571" t="s">
        <v>418</v>
      </c>
      <c r="I265" s="626">
        <v>19863</v>
      </c>
      <c r="J265" s="627">
        <v>52.205479452054796</v>
      </c>
      <c r="K265" s="546">
        <v>626.39710716633795</v>
      </c>
      <c r="L265" s="608" t="s">
        <v>493</v>
      </c>
      <c r="M265" s="603" t="s">
        <v>1183</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607">
        <v>0</v>
      </c>
      <c r="AK265" s="552">
        <f t="shared" si="8"/>
        <v>0</v>
      </c>
      <c r="AL265" s="603" t="s">
        <v>2117</v>
      </c>
      <c r="AM265" s="604">
        <v>38905</v>
      </c>
      <c r="AN265" s="605" t="s">
        <v>1598</v>
      </c>
      <c r="AO265" s="555">
        <v>38936</v>
      </c>
      <c r="AP265" s="608" t="s">
        <v>2076</v>
      </c>
      <c r="AQ265" s="604">
        <v>38913</v>
      </c>
      <c r="AR265" s="605">
        <v>0</v>
      </c>
      <c r="AS265" s="605"/>
      <c r="AT265" s="607">
        <v>0</v>
      </c>
      <c r="AU265" s="605">
        <v>1</v>
      </c>
      <c r="AV265" s="605">
        <v>0</v>
      </c>
      <c r="AW265" s="605">
        <v>1</v>
      </c>
      <c r="AX265" s="574" t="s">
        <v>1184</v>
      </c>
      <c r="AY265" s="605"/>
      <c r="AZ265" s="605" t="s">
        <v>1503</v>
      </c>
      <c r="BA265" s="544">
        <v>0</v>
      </c>
      <c r="BB265" s="558">
        <v>1</v>
      </c>
      <c r="BC265" s="558">
        <v>20</v>
      </c>
      <c r="BD265" s="558">
        <v>0</v>
      </c>
      <c r="BE265" s="558">
        <v>0</v>
      </c>
      <c r="BF265" s="559">
        <v>0</v>
      </c>
      <c r="BG265" s="771">
        <v>0</v>
      </c>
      <c r="BH265" s="771"/>
      <c r="BI265" s="609">
        <v>0</v>
      </c>
      <c r="BJ265" s="605"/>
      <c r="BK265" s="605">
        <v>0</v>
      </c>
      <c r="BL265" s="605"/>
      <c r="BM265" s="605">
        <v>0</v>
      </c>
      <c r="BN265" s="605"/>
      <c r="BO265" s="605">
        <v>0</v>
      </c>
      <c r="BP265" s="605">
        <v>0</v>
      </c>
      <c r="BQ265" s="605">
        <v>0</v>
      </c>
      <c r="BR265" s="605">
        <v>0</v>
      </c>
      <c r="BS265" s="610">
        <v>0</v>
      </c>
      <c r="BT265" s="573">
        <v>1</v>
      </c>
      <c r="BU265" s="574" t="s">
        <v>2113</v>
      </c>
      <c r="BV265" s="574">
        <v>0</v>
      </c>
      <c r="BW265" s="574">
        <v>0</v>
      </c>
      <c r="BX265" s="605">
        <v>0</v>
      </c>
      <c r="BY265" s="605"/>
      <c r="BZ265" s="605"/>
      <c r="CA265" s="605"/>
      <c r="CB265" s="605">
        <v>0</v>
      </c>
      <c r="CC265" s="605">
        <v>0</v>
      </c>
      <c r="CD265" s="605">
        <v>0</v>
      </c>
      <c r="CE265" s="605"/>
      <c r="CF265" s="605"/>
      <c r="CG265" s="605"/>
      <c r="CH265" s="605">
        <v>0</v>
      </c>
      <c r="CI265" s="605"/>
      <c r="CJ265" s="558">
        <v>0</v>
      </c>
      <c r="CK265" s="558">
        <v>0</v>
      </c>
      <c r="CL265" s="605">
        <v>0</v>
      </c>
      <c r="CM265" s="544">
        <v>107</v>
      </c>
      <c r="CN265" s="544">
        <v>86</v>
      </c>
      <c r="CP265" s="564">
        <v>29.7</v>
      </c>
      <c r="CQ265" s="564">
        <v>31.1</v>
      </c>
      <c r="CR265" s="566">
        <v>38908</v>
      </c>
      <c r="CS265" s="566">
        <v>38927</v>
      </c>
      <c r="CT265" s="565">
        <v>9</v>
      </c>
      <c r="CU265" s="566">
        <v>44349</v>
      </c>
      <c r="CV265" s="628">
        <v>0</v>
      </c>
      <c r="CW265" s="566"/>
      <c r="CX265" s="628">
        <v>0</v>
      </c>
      <c r="CY265" s="628">
        <v>0</v>
      </c>
      <c r="CZ265" s="628">
        <v>0</v>
      </c>
      <c r="DA265" s="566"/>
      <c r="DB265" s="628">
        <v>0</v>
      </c>
      <c r="DC265" s="566"/>
      <c r="DD265" s="628">
        <v>0</v>
      </c>
      <c r="DE265" s="566"/>
      <c r="DF265" s="628">
        <v>0</v>
      </c>
      <c r="DG265" s="566"/>
      <c r="DH265" s="566"/>
      <c r="DI265" s="571"/>
      <c r="DJ265" s="574">
        <v>0</v>
      </c>
      <c r="DK265" s="572"/>
      <c r="DL265" s="558"/>
      <c r="DM265" s="558"/>
      <c r="DN265" s="571"/>
      <c r="DO265" s="571"/>
      <c r="DP265" s="571"/>
      <c r="DQ265" s="571"/>
      <c r="DR265" s="571"/>
      <c r="DS265" s="571"/>
      <c r="DT265" s="571"/>
      <c r="DU265" s="571" t="s">
        <v>1160</v>
      </c>
      <c r="DV265" s="571" t="b">
        <v>0</v>
      </c>
      <c r="DW265" s="571"/>
      <c r="DX265" s="571"/>
      <c r="DY265" s="571"/>
      <c r="DZ265" s="571"/>
      <c r="EA265" s="571"/>
      <c r="EB265" s="571"/>
      <c r="EC265" s="571"/>
      <c r="ED265" s="571"/>
      <c r="EE265" s="571"/>
      <c r="EF265" s="571"/>
      <c r="EG265" s="571"/>
      <c r="EH265" s="571"/>
      <c r="EI265" s="571"/>
    </row>
    <row r="266" spans="1:139" s="48" customFormat="1" ht="39.75" customHeight="1">
      <c r="A266" s="60">
        <v>530</v>
      </c>
      <c r="B266" s="149">
        <v>38905</v>
      </c>
      <c r="C266" s="62">
        <v>38905.354166666664</v>
      </c>
      <c r="D266" s="150">
        <v>17567256</v>
      </c>
      <c r="E266" s="151" t="s">
        <v>1185</v>
      </c>
      <c r="F266" s="48" t="b">
        <v>0</v>
      </c>
      <c r="G266" s="48" t="s">
        <v>1558</v>
      </c>
      <c r="H266" s="143" t="s">
        <v>441</v>
      </c>
      <c r="I266" s="152">
        <v>12408</v>
      </c>
      <c r="J266" s="153">
        <v>72.594520547945208</v>
      </c>
      <c r="K266" s="85">
        <v>871.0387902695594</v>
      </c>
      <c r="L266" s="143" t="s">
        <v>493</v>
      </c>
      <c r="M266" s="495" t="s">
        <v>1186</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497"/>
      <c r="AK266" s="324">
        <f t="shared" si="8"/>
        <v>0</v>
      </c>
      <c r="AL266" s="495" t="s">
        <v>2118</v>
      </c>
      <c r="AM266" s="498">
        <v>38841</v>
      </c>
      <c r="AN266" s="615" t="s">
        <v>1598</v>
      </c>
      <c r="AO266" s="61"/>
      <c r="AP266" s="143"/>
      <c r="AQ266" s="498">
        <v>38844</v>
      </c>
      <c r="AR266" s="138">
        <v>0</v>
      </c>
      <c r="AS266" s="138"/>
      <c r="AT266" s="497">
        <v>1</v>
      </c>
      <c r="AU266" s="138">
        <v>1</v>
      </c>
      <c r="AV266" s="138">
        <v>0</v>
      </c>
      <c r="AW266" s="138">
        <v>1</v>
      </c>
      <c r="AX266" s="138" t="s">
        <v>1187</v>
      </c>
      <c r="AY266" s="138"/>
      <c r="AZ266" s="138" t="s">
        <v>1503</v>
      </c>
      <c r="BA266" s="48">
        <v>0</v>
      </c>
      <c r="BB266" s="82">
        <v>1</v>
      </c>
      <c r="BC266" s="82"/>
      <c r="BD266" s="82">
        <v>0</v>
      </c>
      <c r="BE266" s="82">
        <v>1</v>
      </c>
      <c r="BF266" s="235">
        <v>0</v>
      </c>
      <c r="BG266" s="767"/>
      <c r="BH266" s="767"/>
      <c r="BI266" s="228"/>
      <c r="BJ266" s="138"/>
      <c r="BK266" s="138"/>
      <c r="BL266" s="138"/>
      <c r="BM266" s="138"/>
      <c r="BN266" s="138"/>
      <c r="BO266" s="138"/>
      <c r="BP266" s="138"/>
      <c r="BQ266" s="138"/>
      <c r="BR266" s="138"/>
      <c r="BS266" s="247"/>
      <c r="BT266" s="228" t="s">
        <v>1171</v>
      </c>
      <c r="BU266" s="138"/>
      <c r="BV266" s="138"/>
      <c r="BW266" s="138"/>
      <c r="BX266" s="138"/>
      <c r="BY266" s="138"/>
      <c r="BZ266" s="138"/>
      <c r="CA266" s="138"/>
      <c r="CB266" s="138"/>
      <c r="CC266" s="138"/>
      <c r="CD266" s="138"/>
      <c r="CE266" s="138"/>
      <c r="CF266" s="138"/>
      <c r="CG266" s="138"/>
      <c r="CH266" s="138"/>
      <c r="CI266" s="138"/>
      <c r="CJ266" s="82">
        <v>0</v>
      </c>
      <c r="CK266" s="82">
        <v>0</v>
      </c>
      <c r="CL266" s="138"/>
      <c r="CP266" s="505"/>
      <c r="CQ266" s="505"/>
      <c r="CR266" s="84">
        <v>38841</v>
      </c>
      <c r="CS266" s="84">
        <v>38922</v>
      </c>
      <c r="CT266" s="83">
        <v>17</v>
      </c>
      <c r="CU266" s="84"/>
      <c r="CV266" s="154"/>
      <c r="CW266" s="84"/>
      <c r="CX266" s="154"/>
      <c r="CY266" s="154"/>
      <c r="CZ266" s="154"/>
      <c r="DA266" s="84"/>
      <c r="DB266" s="154"/>
      <c r="DC266" s="84"/>
      <c r="DD266" s="154"/>
      <c r="DE266" s="84"/>
      <c r="DF266" s="154"/>
      <c r="DG266" s="84"/>
      <c r="DH266" s="84"/>
      <c r="DI266" s="143"/>
      <c r="DJ266" s="82">
        <v>1</v>
      </c>
      <c r="DK266" s="155">
        <v>36.259040105193947</v>
      </c>
      <c r="DL266" s="82"/>
      <c r="DM266" s="82" t="b">
        <v>1</v>
      </c>
      <c r="DN266" s="84">
        <v>40008</v>
      </c>
      <c r="DO266" s="143" t="s">
        <v>1188</v>
      </c>
      <c r="DP266" s="143"/>
      <c r="DQ266" s="143"/>
      <c r="DR266" s="143"/>
      <c r="DS266" s="143"/>
      <c r="DT266" s="143"/>
      <c r="DU266" s="143"/>
      <c r="DV266" s="143" t="s">
        <v>1095</v>
      </c>
      <c r="DW266" s="84">
        <v>39175</v>
      </c>
      <c r="DX266" s="143" t="s">
        <v>1189</v>
      </c>
      <c r="DY266" s="143" t="s">
        <v>1190</v>
      </c>
      <c r="DZ266" s="143"/>
      <c r="EA266" s="143"/>
      <c r="EB266" s="143"/>
      <c r="EC266" s="143"/>
      <c r="ED266" s="143"/>
      <c r="EE266" s="143" t="s">
        <v>1191</v>
      </c>
      <c r="EF266" s="143"/>
      <c r="EG266" s="143"/>
      <c r="EH266" s="143"/>
      <c r="EI266" s="143"/>
    </row>
    <row r="267" spans="1:139" s="544" customFormat="1" ht="39.75" customHeight="1">
      <c r="A267" s="539">
        <v>532</v>
      </c>
      <c r="B267" s="623">
        <v>38885</v>
      </c>
      <c r="C267" s="541">
        <v>38885.447916666664</v>
      </c>
      <c r="D267" s="624">
        <v>1056562</v>
      </c>
      <c r="E267" s="625" t="s">
        <v>905</v>
      </c>
      <c r="F267" s="544" t="b">
        <v>1</v>
      </c>
      <c r="H267" s="571" t="s">
        <v>441</v>
      </c>
      <c r="I267" s="626">
        <v>13380</v>
      </c>
      <c r="J267" s="627">
        <v>69.876712328767127</v>
      </c>
      <c r="K267" s="546">
        <v>838.42866535174221</v>
      </c>
      <c r="L267" s="571" t="s">
        <v>442</v>
      </c>
      <c r="M267" s="547" t="s">
        <v>1192</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77">
        <v>1</v>
      </c>
      <c r="AK267" s="552">
        <f t="shared" si="8"/>
        <v>0</v>
      </c>
      <c r="AL267" s="547" t="s">
        <v>2119</v>
      </c>
      <c r="AM267" s="575">
        <v>38869</v>
      </c>
      <c r="AN267" s="574" t="s">
        <v>1607</v>
      </c>
      <c r="AO267" s="555">
        <v>38920</v>
      </c>
      <c r="AP267" s="571" t="s">
        <v>1868</v>
      </c>
      <c r="AQ267" s="575">
        <v>38873</v>
      </c>
      <c r="AR267" s="574">
        <v>1</v>
      </c>
      <c r="AS267" s="574" t="s">
        <v>2087</v>
      </c>
      <c r="AT267" s="577">
        <v>0</v>
      </c>
      <c r="AU267" s="574">
        <v>0</v>
      </c>
      <c r="AV267" s="574">
        <v>1</v>
      </c>
      <c r="AW267" s="574">
        <v>1</v>
      </c>
      <c r="AX267" s="574" t="s">
        <v>1193</v>
      </c>
      <c r="AY267" s="574"/>
      <c r="AZ267" s="574" t="s">
        <v>1507</v>
      </c>
      <c r="BA267" s="544">
        <v>0</v>
      </c>
      <c r="BB267" s="558">
        <v>1</v>
      </c>
      <c r="BC267" s="558">
        <v>20</v>
      </c>
      <c r="BD267" s="558">
        <v>0</v>
      </c>
      <c r="BE267" s="558">
        <v>0</v>
      </c>
      <c r="BF267" s="559">
        <v>0</v>
      </c>
      <c r="BG267" s="771">
        <v>0</v>
      </c>
      <c r="BH267" s="771"/>
      <c r="BI267" s="573">
        <v>0</v>
      </c>
      <c r="BJ267" s="574"/>
      <c r="BK267" s="574">
        <v>0</v>
      </c>
      <c r="BL267" s="574"/>
      <c r="BM267" s="574">
        <v>0</v>
      </c>
      <c r="BN267" s="574"/>
      <c r="BO267" s="574">
        <v>0</v>
      </c>
      <c r="BP267" s="574">
        <v>0</v>
      </c>
      <c r="BQ267" s="574">
        <v>0</v>
      </c>
      <c r="BR267" s="574">
        <v>0</v>
      </c>
      <c r="BS267" s="562">
        <v>0</v>
      </c>
      <c r="BT267" s="573">
        <v>1</v>
      </c>
      <c r="BU267" s="574" t="s">
        <v>2120</v>
      </c>
      <c r="BV267" s="574">
        <v>0</v>
      </c>
      <c r="BW267" s="574">
        <v>0</v>
      </c>
      <c r="BX267" s="574">
        <v>0</v>
      </c>
      <c r="BY267" s="574"/>
      <c r="BZ267" s="574"/>
      <c r="CA267" s="574"/>
      <c r="CB267" s="574">
        <v>0</v>
      </c>
      <c r="CC267" s="574">
        <v>0</v>
      </c>
      <c r="CD267" s="574">
        <v>0</v>
      </c>
      <c r="CE267" s="574"/>
      <c r="CF267" s="574"/>
      <c r="CG267" s="574"/>
      <c r="CH267" s="574">
        <v>0</v>
      </c>
      <c r="CI267" s="574"/>
      <c r="CJ267" s="558">
        <v>0</v>
      </c>
      <c r="CK267" s="558">
        <v>0</v>
      </c>
      <c r="CL267" s="574">
        <v>0</v>
      </c>
      <c r="CM267" s="544">
        <v>99</v>
      </c>
      <c r="CN267" s="544">
        <v>87</v>
      </c>
      <c r="CP267" s="564">
        <v>28.7</v>
      </c>
      <c r="CQ267" s="564">
        <v>29.2</v>
      </c>
      <c r="CR267" s="566">
        <v>38870</v>
      </c>
      <c r="CS267" s="566">
        <v>38920</v>
      </c>
      <c r="CT267" s="565">
        <v>35</v>
      </c>
      <c r="CU267" s="566">
        <v>41002</v>
      </c>
      <c r="CV267" s="628">
        <v>1</v>
      </c>
      <c r="CW267" s="566"/>
      <c r="CX267" s="628">
        <v>0</v>
      </c>
      <c r="CY267" s="628">
        <v>0</v>
      </c>
      <c r="CZ267" s="628">
        <v>1</v>
      </c>
      <c r="DA267" s="566" t="s">
        <v>1766</v>
      </c>
      <c r="DB267" s="628">
        <v>1</v>
      </c>
      <c r="DC267" s="566">
        <v>39402</v>
      </c>
      <c r="DD267" s="628">
        <v>1</v>
      </c>
      <c r="DE267" s="566">
        <v>39801</v>
      </c>
      <c r="DF267" s="628">
        <v>0</v>
      </c>
      <c r="DG267" s="566"/>
      <c r="DH267" s="566"/>
      <c r="DI267" s="571"/>
      <c r="DJ267" s="558">
        <v>1</v>
      </c>
      <c r="DK267" s="572">
        <v>69.592373438527275</v>
      </c>
      <c r="DL267" s="558"/>
      <c r="DM267" s="558" t="b">
        <v>1</v>
      </c>
      <c r="DN267" s="566">
        <v>41002</v>
      </c>
      <c r="DO267" s="543" t="s">
        <v>1094</v>
      </c>
      <c r="DP267" s="571"/>
      <c r="DQ267" s="571"/>
      <c r="DR267" s="571"/>
      <c r="DS267" s="571"/>
      <c r="DT267" s="571"/>
      <c r="DU267" s="571" t="s">
        <v>1160</v>
      </c>
      <c r="DV267" s="571" t="s">
        <v>1095</v>
      </c>
      <c r="DW267" s="566">
        <v>39801</v>
      </c>
      <c r="DX267" s="574" t="s">
        <v>1092</v>
      </c>
      <c r="DY267" s="596" t="s">
        <v>1093</v>
      </c>
      <c r="DZ267" s="571"/>
      <c r="EA267" s="571"/>
      <c r="EB267" s="571"/>
      <c r="EC267" s="571"/>
      <c r="ED267" s="571"/>
      <c r="EE267" s="571"/>
      <c r="EF267" s="571"/>
      <c r="EG267" s="571" t="s">
        <v>1160</v>
      </c>
      <c r="EH267" s="571"/>
      <c r="EI267" s="571"/>
    </row>
    <row r="268" spans="1:139" s="544" customFormat="1" ht="39.75" customHeight="1">
      <c r="A268" s="539">
        <v>534</v>
      </c>
      <c r="B268" s="623">
        <v>38865</v>
      </c>
      <c r="C268" s="541">
        <v>38865.572916666664</v>
      </c>
      <c r="D268" s="624">
        <v>18160038</v>
      </c>
      <c r="E268" s="625" t="s">
        <v>1194</v>
      </c>
      <c r="F268" s="544" t="b">
        <v>1</v>
      </c>
      <c r="H268" s="571" t="s">
        <v>418</v>
      </c>
      <c r="I268" s="626">
        <v>14958</v>
      </c>
      <c r="J268" s="627">
        <v>65.498630136986307</v>
      </c>
      <c r="K268" s="546">
        <v>785.8974358974358</v>
      </c>
      <c r="L268" s="608" t="s">
        <v>493</v>
      </c>
      <c r="M268" s="603" t="s">
        <v>1195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607">
        <v>0</v>
      </c>
      <c r="AK268" s="552">
        <f t="shared" si="8"/>
        <v>0</v>
      </c>
      <c r="AL268" s="603"/>
      <c r="AM268" s="604">
        <v>38849</v>
      </c>
      <c r="AN268" s="605" t="s">
        <v>2121</v>
      </c>
      <c r="AO268" s="555">
        <v>38877</v>
      </c>
      <c r="AP268" s="608" t="s">
        <v>2086</v>
      </c>
      <c r="AQ268" s="604">
        <v>38849</v>
      </c>
      <c r="AR268" s="605">
        <v>0</v>
      </c>
      <c r="AS268" s="605"/>
      <c r="AT268" s="607">
        <v>0</v>
      </c>
      <c r="AU268" s="605">
        <v>1</v>
      </c>
      <c r="AV268" s="605">
        <v>0</v>
      </c>
      <c r="AW268" s="605">
        <v>1</v>
      </c>
      <c r="AX268" s="574" t="s">
        <v>1196</v>
      </c>
      <c r="AY268" s="605"/>
      <c r="AZ268" s="605" t="s">
        <v>1503</v>
      </c>
      <c r="BA268" s="544">
        <v>0</v>
      </c>
      <c r="BB268" s="558">
        <v>1</v>
      </c>
      <c r="BC268" s="558">
        <v>4</v>
      </c>
      <c r="BD268" s="558">
        <v>0</v>
      </c>
      <c r="BE268" s="558">
        <v>0</v>
      </c>
      <c r="BF268" s="559">
        <v>1</v>
      </c>
      <c r="BG268" s="771">
        <v>0</v>
      </c>
      <c r="BH268" s="771"/>
      <c r="BI268" s="609">
        <v>0</v>
      </c>
      <c r="BJ268" s="605"/>
      <c r="BK268" s="605">
        <v>0</v>
      </c>
      <c r="BL268" s="605"/>
      <c r="BM268" s="605">
        <v>0</v>
      </c>
      <c r="BN268" s="605"/>
      <c r="BO268" s="605">
        <v>0</v>
      </c>
      <c r="BP268" s="605">
        <v>0</v>
      </c>
      <c r="BQ268" s="605">
        <v>0</v>
      </c>
      <c r="BR268" s="605">
        <v>0</v>
      </c>
      <c r="BS268" s="610">
        <v>0</v>
      </c>
      <c r="BT268" s="560">
        <v>1</v>
      </c>
      <c r="BU268" s="561" t="s">
        <v>2122</v>
      </c>
      <c r="BV268" s="561">
        <v>0</v>
      </c>
      <c r="BW268" s="561">
        <v>0</v>
      </c>
      <c r="BX268" s="605">
        <v>0</v>
      </c>
      <c r="BY268" s="605"/>
      <c r="BZ268" s="605"/>
      <c r="CA268" s="605"/>
      <c r="CB268" s="605">
        <v>0</v>
      </c>
      <c r="CC268" s="605">
        <v>0</v>
      </c>
      <c r="CD268" s="605">
        <v>0</v>
      </c>
      <c r="CE268" s="605"/>
      <c r="CF268" s="605"/>
      <c r="CG268" s="605"/>
      <c r="CH268" s="605">
        <v>0</v>
      </c>
      <c r="CI268" s="605"/>
      <c r="CJ268" s="558">
        <v>0</v>
      </c>
      <c r="CK268" s="558">
        <v>0</v>
      </c>
      <c r="CL268" s="605">
        <v>0</v>
      </c>
      <c r="CM268" s="544">
        <v>76</v>
      </c>
      <c r="CN268" s="544">
        <v>65</v>
      </c>
      <c r="CP268" s="564">
        <v>33.200000000000003</v>
      </c>
      <c r="CQ268" s="564">
        <v>32.4</v>
      </c>
      <c r="CR268" s="566">
        <v>38857</v>
      </c>
      <c r="CS268" s="566">
        <v>38877</v>
      </c>
      <c r="CT268" s="565">
        <v>12</v>
      </c>
      <c r="CU268" s="566">
        <v>44049</v>
      </c>
      <c r="CV268" s="628">
        <v>0</v>
      </c>
      <c r="CW268" s="566"/>
      <c r="CX268" s="628">
        <v>0</v>
      </c>
      <c r="CY268" s="628">
        <v>0</v>
      </c>
      <c r="CZ268" s="628">
        <v>0</v>
      </c>
      <c r="DA268" s="566"/>
      <c r="DB268" s="628">
        <v>0</v>
      </c>
      <c r="DC268" s="566"/>
      <c r="DD268" s="628">
        <v>0</v>
      </c>
      <c r="DE268" s="566"/>
      <c r="DF268" s="628">
        <v>0</v>
      </c>
      <c r="DG268" s="566"/>
      <c r="DH268" s="566"/>
      <c r="DI268" s="571"/>
      <c r="DJ268" s="574">
        <v>0</v>
      </c>
      <c r="DK268" s="572"/>
      <c r="DL268" s="558"/>
      <c r="DM268" s="558"/>
      <c r="DN268" s="571"/>
      <c r="DO268" s="571"/>
      <c r="DP268" s="571"/>
      <c r="DQ268" s="571"/>
      <c r="DR268" s="571"/>
      <c r="DS268" s="571"/>
      <c r="DT268" s="571"/>
      <c r="DU268" s="571" t="s">
        <v>1160</v>
      </c>
      <c r="DV268" s="571" t="b">
        <v>0</v>
      </c>
      <c r="DW268" s="571"/>
      <c r="DX268" s="571"/>
      <c r="DY268" s="571"/>
      <c r="DZ268" s="571"/>
      <c r="EA268" s="571"/>
      <c r="EB268" s="571"/>
      <c r="EC268" s="571"/>
      <c r="ED268" s="571"/>
      <c r="EE268" s="571"/>
      <c r="EF268" s="571"/>
      <c r="EG268" s="571" t="s">
        <v>1160</v>
      </c>
      <c r="EH268" s="571"/>
      <c r="EI268" s="571"/>
    </row>
    <row r="269" spans="1:139" s="48" customFormat="1" ht="39.75" customHeight="1">
      <c r="A269" s="60">
        <v>535</v>
      </c>
      <c r="B269" s="149">
        <v>38863</v>
      </c>
      <c r="C269" s="62">
        <v>38863.34375</v>
      </c>
      <c r="D269" s="150">
        <v>17929890</v>
      </c>
      <c r="E269" s="151" t="s">
        <v>1197</v>
      </c>
      <c r="F269" s="48" t="b">
        <v>0</v>
      </c>
      <c r="G269" s="48" t="s">
        <v>1558</v>
      </c>
      <c r="H269" s="143" t="s">
        <v>418</v>
      </c>
      <c r="I269" s="152">
        <v>23052</v>
      </c>
      <c r="J269" s="153">
        <v>43.317808219178083</v>
      </c>
      <c r="K269" s="85">
        <v>519.75673898750824</v>
      </c>
      <c r="L269" s="143" t="s">
        <v>493</v>
      </c>
      <c r="M269" s="495" t="s">
        <v>1198</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c r="AK269" s="324">
        <f t="shared" si="8"/>
        <v>0</v>
      </c>
      <c r="AL269" s="187"/>
      <c r="AM269" s="191"/>
      <c r="AN269" s="51"/>
      <c r="AO269" s="61"/>
      <c r="AP269" s="60"/>
      <c r="AQ269" s="191"/>
      <c r="AR269" s="51"/>
      <c r="AS269" s="51"/>
      <c r="AT269" s="324"/>
      <c r="AU269" s="51"/>
      <c r="AV269" s="51"/>
      <c r="AW269" s="51"/>
      <c r="AX269" s="138" t="s">
        <v>1199</v>
      </c>
      <c r="AY269" s="138"/>
      <c r="AZ269" s="138">
        <v>1</v>
      </c>
      <c r="BB269" s="82"/>
      <c r="BC269" s="82" t="e">
        <v>#REF!</v>
      </c>
      <c r="BD269" s="82"/>
      <c r="BE269" s="82"/>
      <c r="BF269" s="235"/>
      <c r="BG269" s="767"/>
      <c r="BH269" s="767"/>
      <c r="BI269" s="228">
        <v>1</v>
      </c>
      <c r="BJ269" s="138"/>
      <c r="BK269" s="138"/>
      <c r="BL269" s="138"/>
      <c r="BM269" s="138"/>
      <c r="BN269" s="138"/>
      <c r="BO269" s="138"/>
      <c r="BP269" s="138"/>
      <c r="BQ269" s="138"/>
      <c r="BR269" s="138"/>
      <c r="BS269" s="247" t="s">
        <v>261</v>
      </c>
      <c r="BT269" s="228"/>
      <c r="BU269" s="138"/>
      <c r="BV269" s="138"/>
      <c r="BW269" s="138"/>
      <c r="BX269" s="138"/>
      <c r="BY269" s="138"/>
      <c r="BZ269" s="138"/>
      <c r="CA269" s="71" t="e">
        <v>#REF!</v>
      </c>
      <c r="CB269" s="144"/>
      <c r="CC269" s="144"/>
      <c r="CD269" s="144"/>
      <c r="CE269" s="144"/>
      <c r="CF269" s="144"/>
      <c r="CG269" s="138"/>
      <c r="CH269" s="138"/>
      <c r="CI269" s="138"/>
      <c r="CJ269" s="82">
        <v>0</v>
      </c>
      <c r="CK269" s="82">
        <v>0</v>
      </c>
      <c r="CL269" s="138"/>
      <c r="CP269" s="505"/>
      <c r="CQ269" s="505"/>
      <c r="CR269" s="84">
        <v>38860</v>
      </c>
      <c r="CS269" s="84">
        <v>38876</v>
      </c>
      <c r="CT269" s="83">
        <v>13</v>
      </c>
      <c r="CU269" s="84"/>
      <c r="CV269" s="154"/>
      <c r="CW269" s="84"/>
      <c r="CX269" s="154"/>
      <c r="CY269" s="154"/>
      <c r="CZ269" s="154"/>
      <c r="DA269" s="84"/>
      <c r="DB269" s="154"/>
      <c r="DC269" s="84"/>
      <c r="DD269" s="154"/>
      <c r="DE269" s="84"/>
      <c r="DF269" s="154"/>
      <c r="DG269" s="84"/>
      <c r="DH269" s="87" t="s">
        <v>220</v>
      </c>
      <c r="DI269" s="143"/>
      <c r="DJ269" s="138">
        <v>0</v>
      </c>
      <c r="DK269" s="155"/>
      <c r="DL269" s="82"/>
      <c r="DM269" s="82"/>
      <c r="DN269" s="143"/>
      <c r="DO269" s="143"/>
      <c r="DP269" s="143"/>
      <c r="DQ269" s="143"/>
      <c r="DR269" s="143"/>
      <c r="DS269" s="143"/>
      <c r="DT269" s="143"/>
      <c r="DU269" s="143" t="s">
        <v>1160</v>
      </c>
      <c r="DV269" s="143" t="b">
        <v>0</v>
      </c>
      <c r="DW269" s="143"/>
      <c r="DX269" s="143"/>
      <c r="DY269" s="143"/>
      <c r="DZ269" s="143"/>
      <c r="EA269" s="143"/>
      <c r="EB269" s="143"/>
      <c r="EC269" s="143"/>
      <c r="ED269" s="143"/>
      <c r="EE269" s="143"/>
      <c r="EF269" s="143"/>
      <c r="EG269" s="143" t="s">
        <v>1160</v>
      </c>
      <c r="EH269" s="143"/>
      <c r="EI269" s="143"/>
    </row>
    <row r="270" spans="1:139" s="196" customFormat="1" ht="39.75" customHeight="1">
      <c r="A270" s="90">
        <v>536</v>
      </c>
      <c r="B270" s="629">
        <v>38852</v>
      </c>
      <c r="C270" s="194">
        <v>38852.836805555555</v>
      </c>
      <c r="D270" s="630">
        <v>18070463</v>
      </c>
      <c r="E270" s="631" t="s">
        <v>1200</v>
      </c>
      <c r="F270" s="196" t="s">
        <v>1590</v>
      </c>
      <c r="G270" s="196" t="s">
        <v>1730</v>
      </c>
      <c r="H270" s="516" t="s">
        <v>418</v>
      </c>
      <c r="I270" s="632">
        <v>22413</v>
      </c>
      <c r="J270" s="633">
        <v>45.038356164383565</v>
      </c>
      <c r="K270" s="197">
        <v>540.40105193951342</v>
      </c>
      <c r="L270" s="516" t="s">
        <v>493</v>
      </c>
      <c r="M270" s="634" t="s">
        <v>1201</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636"/>
      <c r="AK270" s="326">
        <f t="shared" si="8"/>
        <v>0</v>
      </c>
      <c r="AL270" s="634"/>
      <c r="AM270" s="637"/>
      <c r="AN270" s="280"/>
      <c r="AO270" s="88"/>
      <c r="AP270" s="201"/>
      <c r="AQ270" s="637"/>
      <c r="AR270" s="280"/>
      <c r="AS270" s="280"/>
      <c r="AT270" s="636"/>
      <c r="AU270" s="280"/>
      <c r="AV270" s="280"/>
      <c r="AW270" s="280"/>
      <c r="AX270" s="638" t="s">
        <v>1203</v>
      </c>
      <c r="AY270" s="510"/>
      <c r="AZ270" s="510">
        <v>1</v>
      </c>
      <c r="BB270" s="203"/>
      <c r="BC270" s="203"/>
      <c r="BD270" s="203"/>
      <c r="BE270" s="203"/>
      <c r="BF270" s="236"/>
      <c r="BG270" s="768"/>
      <c r="BH270" s="768"/>
      <c r="BI270" s="591"/>
      <c r="BJ270" s="510"/>
      <c r="BK270" s="510"/>
      <c r="BL270" s="510"/>
      <c r="BM270" s="510"/>
      <c r="BN270" s="510"/>
      <c r="BO270" s="510"/>
      <c r="BP270" s="510"/>
      <c r="BQ270" s="510"/>
      <c r="BR270" s="510"/>
      <c r="BS270" s="474"/>
      <c r="BT270" s="591" t="s">
        <v>174</v>
      </c>
      <c r="BU270" s="510"/>
      <c r="BV270" s="510"/>
      <c r="BW270" s="510"/>
      <c r="BX270" s="510"/>
      <c r="BY270" s="510"/>
      <c r="BZ270" s="510"/>
      <c r="CA270" s="510"/>
      <c r="CB270" s="510"/>
      <c r="CC270" s="510"/>
      <c r="CD270" s="510"/>
      <c r="CE270" s="510"/>
      <c r="CF270" s="510"/>
      <c r="CG270" s="510"/>
      <c r="CH270" s="510" t="s">
        <v>1129</v>
      </c>
      <c r="CI270" s="510"/>
      <c r="CJ270" s="203">
        <v>0</v>
      </c>
      <c r="CK270" s="203">
        <v>0</v>
      </c>
      <c r="CL270" s="510" t="s">
        <v>1202</v>
      </c>
      <c r="CP270" s="506"/>
      <c r="CQ270" s="506"/>
      <c r="CR270" s="206">
        <v>38813</v>
      </c>
      <c r="CS270" s="206">
        <v>38936</v>
      </c>
      <c r="CT270" s="205">
        <v>84</v>
      </c>
      <c r="CU270" s="206"/>
      <c r="CV270" s="639"/>
      <c r="CW270" s="206"/>
      <c r="CX270" s="639"/>
      <c r="CY270" s="639"/>
      <c r="CZ270" s="639"/>
      <c r="DA270" s="206"/>
      <c r="DB270" s="639"/>
      <c r="DC270" s="206"/>
      <c r="DD270" s="639"/>
      <c r="DE270" s="206"/>
      <c r="DF270" s="639"/>
      <c r="DG270" s="206"/>
      <c r="DH270" s="206"/>
      <c r="DI270" s="201" t="s">
        <v>986</v>
      </c>
      <c r="DJ270" s="203">
        <v>1</v>
      </c>
      <c r="DK270" s="640">
        <v>8.2840236686390529</v>
      </c>
      <c r="DL270" s="203"/>
      <c r="DM270" s="203" t="b">
        <v>1</v>
      </c>
      <c r="DN270" s="206">
        <v>39104</v>
      </c>
      <c r="DO270" s="516" t="s">
        <v>1204</v>
      </c>
      <c r="DP270" s="516"/>
      <c r="DQ270" s="516"/>
      <c r="DR270" s="516" t="s">
        <v>1188</v>
      </c>
      <c r="DS270" s="641" t="s">
        <v>1205</v>
      </c>
      <c r="DT270" s="516"/>
      <c r="DU270" s="516"/>
      <c r="DV270" s="516" t="s">
        <v>1095</v>
      </c>
      <c r="DW270" s="201"/>
      <c r="DX270" s="201"/>
      <c r="DY270" s="201"/>
      <c r="DZ270" s="201"/>
      <c r="EA270" s="201"/>
      <c r="EB270" s="201"/>
      <c r="EC270" s="516"/>
      <c r="ED270" s="516"/>
      <c r="EE270" s="516"/>
      <c r="EF270" s="516"/>
      <c r="EG270" s="516" t="s">
        <v>1160</v>
      </c>
      <c r="EH270" s="516"/>
      <c r="EI270" s="516"/>
    </row>
    <row r="271" spans="1:139" s="544" customFormat="1" ht="39.75" customHeight="1">
      <c r="A271" s="539">
        <v>538</v>
      </c>
      <c r="B271" s="623">
        <v>38813</v>
      </c>
      <c r="C271" s="541">
        <v>38813.986111111109</v>
      </c>
      <c r="D271" s="624">
        <v>18070463</v>
      </c>
      <c r="E271" s="625" t="s">
        <v>1200</v>
      </c>
      <c r="F271" s="544" t="b">
        <v>1</v>
      </c>
      <c r="H271" s="571" t="s">
        <v>418</v>
      </c>
      <c r="I271" s="626">
        <v>22413</v>
      </c>
      <c r="J271" s="627">
        <v>44.93150684931507</v>
      </c>
      <c r="K271" s="546">
        <v>539.11900065746215</v>
      </c>
      <c r="L271" s="571" t="s">
        <v>500</v>
      </c>
      <c r="M271" s="547" t="s">
        <v>1206</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v>0</v>
      </c>
      <c r="AK271" s="552">
        <f t="shared" si="8"/>
        <v>0</v>
      </c>
      <c r="AL271" s="553"/>
      <c r="AM271" s="554">
        <v>38813</v>
      </c>
      <c r="AN271" s="549" t="s">
        <v>1525</v>
      </c>
      <c r="AO271" s="555"/>
      <c r="AP271" s="539" t="s">
        <v>223</v>
      </c>
      <c r="AQ271" s="554"/>
      <c r="AR271" s="549">
        <v>1</v>
      </c>
      <c r="AS271" s="549" t="s">
        <v>1207</v>
      </c>
      <c r="AT271" s="552">
        <v>0</v>
      </c>
      <c r="AU271" s="549">
        <v>0</v>
      </c>
      <c r="AV271" s="549">
        <v>0</v>
      </c>
      <c r="AW271" s="549">
        <v>1</v>
      </c>
      <c r="AX271" s="574" t="s">
        <v>1208</v>
      </c>
      <c r="AY271" s="574"/>
      <c r="AZ271" s="558" t="s">
        <v>1770</v>
      </c>
      <c r="BA271" s="544">
        <v>0</v>
      </c>
      <c r="BB271" s="544">
        <v>1</v>
      </c>
      <c r="BC271" s="558"/>
      <c r="BD271" s="558">
        <v>1</v>
      </c>
      <c r="BE271" s="558">
        <v>0</v>
      </c>
      <c r="BF271" s="559">
        <v>0</v>
      </c>
      <c r="BG271" s="771">
        <v>0</v>
      </c>
      <c r="BH271" s="771"/>
      <c r="BI271" s="573">
        <v>1</v>
      </c>
      <c r="BJ271" s="574"/>
      <c r="BK271" s="574">
        <v>1</v>
      </c>
      <c r="BL271" s="574" t="s">
        <v>2123</v>
      </c>
      <c r="BM271" s="574">
        <v>1</v>
      </c>
      <c r="BN271" s="574" t="s">
        <v>2124</v>
      </c>
      <c r="BO271" s="574">
        <v>0</v>
      </c>
      <c r="BP271" s="574">
        <v>0</v>
      </c>
      <c r="BQ271" s="574">
        <v>0</v>
      </c>
      <c r="BR271" s="574">
        <v>0</v>
      </c>
      <c r="BS271" s="562">
        <v>1</v>
      </c>
      <c r="BT271" s="573">
        <v>0</v>
      </c>
      <c r="BU271" s="574"/>
      <c r="BV271" s="574">
        <v>0</v>
      </c>
      <c r="BW271" s="574">
        <v>1</v>
      </c>
      <c r="BX271" s="574">
        <v>1</v>
      </c>
      <c r="BY271" s="574"/>
      <c r="BZ271" s="574"/>
      <c r="CA271" s="557" t="s">
        <v>2125</v>
      </c>
      <c r="CB271" s="578">
        <v>0</v>
      </c>
      <c r="CC271" s="578">
        <v>0</v>
      </c>
      <c r="CD271" s="578">
        <v>0</v>
      </c>
      <c r="CE271" s="578"/>
      <c r="CF271" s="578"/>
      <c r="CG271" s="574"/>
      <c r="CH271" s="574">
        <v>0</v>
      </c>
      <c r="CI271" s="574"/>
      <c r="CJ271" s="558">
        <v>0</v>
      </c>
      <c r="CK271" s="558">
        <v>0</v>
      </c>
      <c r="CL271" s="574">
        <v>0</v>
      </c>
      <c r="CM271" s="544">
        <v>318</v>
      </c>
      <c r="CN271" s="544">
        <v>212</v>
      </c>
      <c r="CP271" s="564">
        <v>25.4</v>
      </c>
      <c r="CQ271" s="564">
        <v>27.1</v>
      </c>
      <c r="CR271" s="566">
        <v>38813</v>
      </c>
      <c r="CS271" s="566">
        <v>38936</v>
      </c>
      <c r="CT271" s="565">
        <v>123</v>
      </c>
      <c r="CU271" s="566">
        <v>38936</v>
      </c>
      <c r="CV271" s="628">
        <v>0</v>
      </c>
      <c r="CW271" s="566"/>
      <c r="CX271" s="628">
        <v>0</v>
      </c>
      <c r="CY271" s="628">
        <v>0</v>
      </c>
      <c r="CZ271" s="628">
        <v>0</v>
      </c>
      <c r="DA271" s="566"/>
      <c r="DB271" s="628">
        <v>1</v>
      </c>
      <c r="DC271" s="566">
        <v>38852</v>
      </c>
      <c r="DD271" s="628">
        <v>1</v>
      </c>
      <c r="DE271" s="566">
        <v>38852</v>
      </c>
      <c r="DF271" s="628">
        <v>0</v>
      </c>
      <c r="DG271" s="566"/>
      <c r="DH271" s="566" t="s">
        <v>1209</v>
      </c>
      <c r="DI271" s="571" t="s">
        <v>986</v>
      </c>
      <c r="DJ271" s="558">
        <v>1</v>
      </c>
      <c r="DK271" s="572">
        <v>9.566074950690334</v>
      </c>
      <c r="DL271" s="558"/>
      <c r="DM271" s="558" t="b">
        <v>1</v>
      </c>
      <c r="DN271" s="566">
        <v>39104</v>
      </c>
      <c r="DO271" s="571" t="s">
        <v>1204</v>
      </c>
      <c r="DP271" s="571"/>
      <c r="DQ271" s="571"/>
      <c r="DR271" s="571"/>
      <c r="DS271" s="571"/>
      <c r="DT271" s="571"/>
      <c r="DU271" s="571"/>
      <c r="DV271" s="571" t="s">
        <v>1095</v>
      </c>
      <c r="DW271" s="566">
        <v>38852</v>
      </c>
      <c r="DX271" s="596" t="s">
        <v>1201</v>
      </c>
      <c r="DY271" s="642" t="s">
        <v>1210</v>
      </c>
      <c r="DZ271" s="571"/>
      <c r="EA271" s="571"/>
      <c r="EB271" s="571"/>
      <c r="EC271" s="571"/>
      <c r="ED271" s="571"/>
      <c r="EE271" s="571"/>
      <c r="EF271" s="571"/>
      <c r="EG271" s="571"/>
      <c r="EH271" s="571"/>
      <c r="EI271" s="571"/>
    </row>
    <row r="272" spans="1:139" s="544" customFormat="1" ht="39.75" customHeight="1">
      <c r="A272" s="539">
        <v>540</v>
      </c>
      <c r="B272" s="623">
        <v>38779</v>
      </c>
      <c r="C272" s="541">
        <v>38779.5625</v>
      </c>
      <c r="D272" s="624">
        <v>17701845</v>
      </c>
      <c r="E272" s="625" t="s">
        <v>630</v>
      </c>
      <c r="F272" s="544" t="b">
        <v>1</v>
      </c>
      <c r="H272" s="571" t="s">
        <v>418</v>
      </c>
      <c r="I272" s="626">
        <v>21356</v>
      </c>
      <c r="J272" s="627">
        <v>47.734246575342468</v>
      </c>
      <c r="K272" s="546">
        <v>572.74819197896113</v>
      </c>
      <c r="L272" s="608" t="s">
        <v>493</v>
      </c>
      <c r="M272" s="603" t="s">
        <v>1211</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607">
        <v>1</v>
      </c>
      <c r="AK272" s="552">
        <f t="shared" si="8"/>
        <v>0</v>
      </c>
      <c r="AL272" s="603" t="s">
        <v>2126</v>
      </c>
      <c r="AM272" s="604">
        <v>38764</v>
      </c>
      <c r="AN272" s="605" t="s">
        <v>2013</v>
      </c>
      <c r="AO272" s="555">
        <v>38812</v>
      </c>
      <c r="AP272" s="608" t="s">
        <v>1489</v>
      </c>
      <c r="AQ272" s="604">
        <v>38764</v>
      </c>
      <c r="AR272" s="605">
        <v>0</v>
      </c>
      <c r="AS272" s="605"/>
      <c r="AT272" s="607">
        <v>0</v>
      </c>
      <c r="AU272" s="605">
        <v>0</v>
      </c>
      <c r="AV272" s="605">
        <v>0</v>
      </c>
      <c r="AW272" s="605">
        <v>1</v>
      </c>
      <c r="AX272" s="574" t="s">
        <v>1212</v>
      </c>
      <c r="AY272" s="605"/>
      <c r="AZ272" s="605" t="s">
        <v>1481</v>
      </c>
      <c r="BA272" s="544">
        <v>0</v>
      </c>
      <c r="BB272" s="558">
        <v>1</v>
      </c>
      <c r="BC272" s="558">
        <v>20</v>
      </c>
      <c r="BD272" s="558">
        <v>1</v>
      </c>
      <c r="BE272" s="558">
        <v>0</v>
      </c>
      <c r="BF272" s="559">
        <v>0</v>
      </c>
      <c r="BG272" s="771">
        <v>0</v>
      </c>
      <c r="BH272" s="771"/>
      <c r="BI272" s="609">
        <v>0</v>
      </c>
      <c r="BJ272" s="605"/>
      <c r="BK272" s="605">
        <v>0</v>
      </c>
      <c r="BL272" s="605"/>
      <c r="BM272" s="605">
        <v>0</v>
      </c>
      <c r="BN272" s="605"/>
      <c r="BO272" s="605">
        <v>0</v>
      </c>
      <c r="BP272" s="605">
        <v>0</v>
      </c>
      <c r="BQ272" s="605">
        <v>0</v>
      </c>
      <c r="BR272" s="605">
        <v>0</v>
      </c>
      <c r="BS272" s="610">
        <v>0</v>
      </c>
      <c r="BT272" s="573">
        <v>1</v>
      </c>
      <c r="BU272" s="574" t="s">
        <v>2127</v>
      </c>
      <c r="BV272" s="574">
        <v>0</v>
      </c>
      <c r="BW272" s="574">
        <v>0</v>
      </c>
      <c r="BX272" s="605">
        <v>0</v>
      </c>
      <c r="BY272" s="605"/>
      <c r="BZ272" s="605"/>
      <c r="CA272" s="605"/>
      <c r="CB272" s="605">
        <v>0</v>
      </c>
      <c r="CC272" s="605">
        <v>0</v>
      </c>
      <c r="CD272" s="605">
        <v>0</v>
      </c>
      <c r="CE272" s="605"/>
      <c r="CF272" s="605"/>
      <c r="CG272" s="605"/>
      <c r="CH272" s="605">
        <v>1</v>
      </c>
      <c r="CI272" s="605" t="s">
        <v>2128</v>
      </c>
      <c r="CJ272" s="558">
        <v>0</v>
      </c>
      <c r="CK272" s="558">
        <v>0</v>
      </c>
      <c r="CL272" s="605">
        <v>0</v>
      </c>
      <c r="CM272" s="544">
        <v>90</v>
      </c>
      <c r="CN272" s="544">
        <v>72</v>
      </c>
      <c r="CP272" s="564">
        <v>31.3</v>
      </c>
      <c r="CQ272" s="564">
        <v>32.299999999999997</v>
      </c>
      <c r="CR272" s="566">
        <v>38729</v>
      </c>
      <c r="CS272" s="566">
        <v>38835</v>
      </c>
      <c r="CT272" s="565">
        <v>56</v>
      </c>
      <c r="CU272" s="566">
        <v>43676</v>
      </c>
      <c r="CV272" s="628">
        <v>0</v>
      </c>
      <c r="CW272" s="566"/>
      <c r="CX272" s="628">
        <v>0</v>
      </c>
      <c r="CY272" s="628">
        <v>0</v>
      </c>
      <c r="CZ272" s="628">
        <v>0</v>
      </c>
      <c r="DA272" s="566"/>
      <c r="DB272" s="628">
        <v>1</v>
      </c>
      <c r="DC272" s="566">
        <v>42086</v>
      </c>
      <c r="DD272" s="628">
        <v>1</v>
      </c>
      <c r="DE272" s="566">
        <v>42100</v>
      </c>
      <c r="DF272" s="628">
        <v>0</v>
      </c>
      <c r="DG272" s="566"/>
      <c r="DH272" s="566"/>
      <c r="DI272" s="571"/>
      <c r="DJ272" s="574">
        <v>0</v>
      </c>
      <c r="DK272" s="572"/>
      <c r="DL272" s="558"/>
      <c r="DM272" s="558"/>
      <c r="DN272" s="571"/>
      <c r="DO272" s="571"/>
      <c r="DP272" s="571"/>
      <c r="DQ272" s="571"/>
      <c r="DR272" s="571"/>
      <c r="DS272" s="571"/>
      <c r="DT272" s="571"/>
      <c r="DU272" s="571" t="s">
        <v>1160</v>
      </c>
      <c r="DV272" s="571" t="b">
        <v>0</v>
      </c>
      <c r="DW272" s="571"/>
      <c r="DX272" s="571"/>
      <c r="DY272" s="571"/>
      <c r="DZ272" s="571"/>
      <c r="EA272" s="571"/>
      <c r="EB272" s="571"/>
      <c r="EC272" s="571"/>
      <c r="ED272" s="571"/>
      <c r="EE272" s="571"/>
      <c r="EF272" s="571"/>
      <c r="EG272" s="571"/>
      <c r="EH272" s="571"/>
      <c r="EI272" s="571"/>
    </row>
    <row r="273" spans="1:139" s="48" customFormat="1" ht="39.75" customHeight="1">
      <c r="A273" s="60">
        <v>541</v>
      </c>
      <c r="B273" s="149">
        <v>38771</v>
      </c>
      <c r="C273" s="62">
        <v>38771.614583333336</v>
      </c>
      <c r="D273" s="150">
        <v>17713156</v>
      </c>
      <c r="E273" s="151" t="s">
        <v>1213</v>
      </c>
      <c r="F273" s="48" t="b">
        <v>0</v>
      </c>
      <c r="G273" s="48" t="s">
        <v>1558</v>
      </c>
      <c r="H273" s="143" t="s">
        <v>418</v>
      </c>
      <c r="I273" s="152">
        <v>22361</v>
      </c>
      <c r="J273" s="153">
        <v>44.958904109589042</v>
      </c>
      <c r="K273" s="85">
        <v>539.447731755424</v>
      </c>
      <c r="L273" s="143" t="s">
        <v>493</v>
      </c>
      <c r="M273" s="495" t="s">
        <v>1214</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c r="AK273" s="324">
        <f t="shared" si="8"/>
        <v>0</v>
      </c>
      <c r="AL273" s="187"/>
      <c r="AM273" s="191"/>
      <c r="AN273" s="51"/>
      <c r="AO273" s="61">
        <v>38773</v>
      </c>
      <c r="AP273" s="60" t="s">
        <v>1024</v>
      </c>
      <c r="AQ273" s="191"/>
      <c r="AR273" s="51">
        <v>1</v>
      </c>
      <c r="AS273" s="51" t="s">
        <v>1215</v>
      </c>
      <c r="AT273" s="324">
        <v>0</v>
      </c>
      <c r="AU273" s="51"/>
      <c r="AV273" s="51"/>
      <c r="AW273" s="51"/>
      <c r="AX273" s="138" t="s">
        <v>1216</v>
      </c>
      <c r="AY273" s="138"/>
      <c r="AZ273" s="138">
        <v>1</v>
      </c>
      <c r="BB273" s="82"/>
      <c r="BC273" s="82" t="e">
        <v>#REF!</v>
      </c>
      <c r="BD273" s="82"/>
      <c r="BE273" s="82"/>
      <c r="BF273" s="235"/>
      <c r="BG273" s="767"/>
      <c r="BH273" s="767"/>
      <c r="BI273" s="228">
        <v>1</v>
      </c>
      <c r="BJ273" s="138"/>
      <c r="BK273" s="138"/>
      <c r="BL273" s="138"/>
      <c r="BM273" s="138"/>
      <c r="BN273" s="138"/>
      <c r="BO273" s="138"/>
      <c r="BP273" s="138"/>
      <c r="BQ273" s="138"/>
      <c r="BR273" s="138"/>
      <c r="BS273" s="247" t="s">
        <v>261</v>
      </c>
      <c r="BT273" s="228"/>
      <c r="BU273" s="138"/>
      <c r="BV273" s="138"/>
      <c r="BW273" s="138"/>
      <c r="BX273" s="138"/>
      <c r="BY273" s="138"/>
      <c r="BZ273" s="138"/>
      <c r="CA273" s="71" t="e">
        <v>#REF!</v>
      </c>
      <c r="CB273" s="144"/>
      <c r="CC273" s="144"/>
      <c r="CD273" s="144"/>
      <c r="CE273" s="144"/>
      <c r="CF273" s="144"/>
      <c r="CG273" s="138"/>
      <c r="CH273" s="138"/>
      <c r="CI273" s="138"/>
      <c r="CJ273" s="82">
        <v>0</v>
      </c>
      <c r="CK273" s="82">
        <v>0</v>
      </c>
      <c r="CL273" s="138"/>
      <c r="CP273" s="505"/>
      <c r="CQ273" s="505"/>
      <c r="CR273" s="84">
        <v>38731</v>
      </c>
      <c r="CS273" s="84">
        <v>38780</v>
      </c>
      <c r="CT273" s="83">
        <v>9</v>
      </c>
      <c r="CU273" s="84"/>
      <c r="CV273" s="154"/>
      <c r="CW273" s="84"/>
      <c r="CX273" s="154"/>
      <c r="CY273" s="154"/>
      <c r="CZ273" s="154"/>
      <c r="DA273" s="84"/>
      <c r="DB273" s="154"/>
      <c r="DC273" s="84"/>
      <c r="DD273" s="154"/>
      <c r="DE273" s="84"/>
      <c r="DF273" s="154"/>
      <c r="DG273" s="84"/>
      <c r="DH273" s="87" t="s">
        <v>220</v>
      </c>
      <c r="DI273" s="143"/>
      <c r="DJ273" s="138">
        <v>0</v>
      </c>
      <c r="DK273" s="155"/>
      <c r="DL273" s="82"/>
      <c r="DM273" s="82"/>
      <c r="DN273" s="143"/>
      <c r="DO273" s="143"/>
      <c r="DP273" s="143"/>
      <c r="DQ273" s="143"/>
      <c r="DR273" s="143"/>
      <c r="DS273" s="143"/>
      <c r="DT273" s="143"/>
      <c r="DU273" s="143"/>
      <c r="DV273" s="143" t="b">
        <v>0</v>
      </c>
      <c r="DW273" s="143"/>
      <c r="DX273" s="143"/>
      <c r="DY273" s="143"/>
      <c r="DZ273" s="143"/>
      <c r="EA273" s="143"/>
      <c r="EB273" s="143"/>
      <c r="EC273" s="143"/>
      <c r="ED273" s="143"/>
      <c r="EE273" s="143"/>
      <c r="EF273" s="143"/>
      <c r="EG273" s="143" t="s">
        <v>1160</v>
      </c>
      <c r="EH273" s="143"/>
      <c r="EI273" s="143"/>
    </row>
    <row r="274" spans="1:139" s="544" customFormat="1" ht="39.75" customHeight="1">
      <c r="A274" s="539">
        <v>542</v>
      </c>
      <c r="B274" s="623">
        <v>38765</v>
      </c>
      <c r="C274" s="541">
        <v>38765.347222222219</v>
      </c>
      <c r="D274" s="624">
        <v>17791471</v>
      </c>
      <c r="E274" s="625" t="s">
        <v>1217</v>
      </c>
      <c r="F274" s="544" t="b">
        <v>1</v>
      </c>
      <c r="H274" s="571" t="s">
        <v>418</v>
      </c>
      <c r="I274" s="626">
        <v>17530</v>
      </c>
      <c r="J274" s="627">
        <v>58.178082191780824</v>
      </c>
      <c r="K274" s="546">
        <v>698.06048652202492</v>
      </c>
      <c r="L274" s="608" t="s">
        <v>493</v>
      </c>
      <c r="M274" s="603" t="s">
        <v>1218</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607">
        <v>0</v>
      </c>
      <c r="AK274" s="552">
        <f t="shared" si="8"/>
        <v>0</v>
      </c>
      <c r="AL274" s="603"/>
      <c r="AM274" s="604">
        <v>38749</v>
      </c>
      <c r="AN274" s="605" t="s">
        <v>2129</v>
      </c>
      <c r="AO274" s="555">
        <v>38778</v>
      </c>
      <c r="AP274" s="608" t="s">
        <v>2130</v>
      </c>
      <c r="AQ274" s="604">
        <v>38748</v>
      </c>
      <c r="AR274" s="605">
        <v>0</v>
      </c>
      <c r="AS274" s="605"/>
      <c r="AT274" s="607">
        <v>0</v>
      </c>
      <c r="AU274" s="605">
        <v>1</v>
      </c>
      <c r="AV274" s="605">
        <v>0</v>
      </c>
      <c r="AW274" s="605">
        <v>1</v>
      </c>
      <c r="AX274" s="574" t="s">
        <v>1184</v>
      </c>
      <c r="AY274" s="605"/>
      <c r="AZ274" s="605" t="s">
        <v>1503</v>
      </c>
      <c r="BA274" s="544">
        <v>0</v>
      </c>
      <c r="BB274" s="558">
        <v>1</v>
      </c>
      <c r="BC274" s="558">
        <v>15</v>
      </c>
      <c r="BD274" s="558">
        <v>0</v>
      </c>
      <c r="BE274" s="558">
        <v>0</v>
      </c>
      <c r="BF274" s="559">
        <v>1</v>
      </c>
      <c r="BG274" s="771">
        <v>0</v>
      </c>
      <c r="BH274" s="771"/>
      <c r="BI274" s="609">
        <v>0</v>
      </c>
      <c r="BJ274" s="605"/>
      <c r="BK274" s="605">
        <v>0</v>
      </c>
      <c r="BL274" s="605"/>
      <c r="BM274" s="605">
        <v>0</v>
      </c>
      <c r="BN274" s="605"/>
      <c r="BO274" s="605">
        <v>0</v>
      </c>
      <c r="BP274" s="605">
        <v>0</v>
      </c>
      <c r="BQ274" s="605">
        <v>0</v>
      </c>
      <c r="BR274" s="605">
        <v>0</v>
      </c>
      <c r="BS274" s="610">
        <v>0</v>
      </c>
      <c r="BT274" s="573">
        <v>1</v>
      </c>
      <c r="BU274" s="574" t="s">
        <v>1636</v>
      </c>
      <c r="BV274" s="574">
        <v>0</v>
      </c>
      <c r="BW274" s="574">
        <v>0</v>
      </c>
      <c r="BX274" s="605">
        <v>0</v>
      </c>
      <c r="BY274" s="605"/>
      <c r="BZ274" s="605"/>
      <c r="CA274" s="605"/>
      <c r="CB274" s="605">
        <v>0</v>
      </c>
      <c r="CC274" s="605">
        <v>0</v>
      </c>
      <c r="CD274" s="605">
        <v>0</v>
      </c>
      <c r="CE274" s="605"/>
      <c r="CF274" s="605"/>
      <c r="CG274" s="605"/>
      <c r="CH274" s="605">
        <v>0</v>
      </c>
      <c r="CI274" s="605"/>
      <c r="CJ274" s="558">
        <v>0</v>
      </c>
      <c r="CK274" s="558">
        <v>0</v>
      </c>
      <c r="CL274" s="605">
        <v>0</v>
      </c>
      <c r="CM274" s="544">
        <v>64</v>
      </c>
      <c r="CN274" s="544">
        <v>48</v>
      </c>
      <c r="CP274" s="564">
        <v>29.8</v>
      </c>
      <c r="CQ274" s="564">
        <v>31.3</v>
      </c>
      <c r="CR274" s="566">
        <v>38747</v>
      </c>
      <c r="CS274" s="566">
        <v>38780</v>
      </c>
      <c r="CT274" s="565">
        <v>15</v>
      </c>
      <c r="CU274" s="566">
        <v>41803</v>
      </c>
      <c r="CV274" s="628">
        <v>1</v>
      </c>
      <c r="CW274" s="566">
        <v>41803</v>
      </c>
      <c r="CX274" s="628">
        <v>0</v>
      </c>
      <c r="CY274" s="628">
        <v>0</v>
      </c>
      <c r="CZ274" s="628">
        <v>1</v>
      </c>
      <c r="DA274" s="566" t="s">
        <v>2131</v>
      </c>
      <c r="DB274" s="628">
        <v>0</v>
      </c>
      <c r="DC274" s="566"/>
      <c r="DD274" s="628">
        <v>0</v>
      </c>
      <c r="DE274" s="566"/>
      <c r="DF274" s="628">
        <v>0</v>
      </c>
      <c r="DG274" s="566"/>
      <c r="DH274" s="566"/>
      <c r="DI274" s="571"/>
      <c r="DJ274" s="574">
        <v>0</v>
      </c>
      <c r="DK274" s="572"/>
      <c r="DL274" s="558"/>
      <c r="DM274" s="558"/>
      <c r="DN274" s="571"/>
      <c r="DO274" s="571"/>
      <c r="DP274" s="571"/>
      <c r="DQ274" s="571"/>
      <c r="DR274" s="571"/>
      <c r="DS274" s="571"/>
      <c r="DT274" s="571"/>
      <c r="DU274" s="571"/>
      <c r="DV274" s="571" t="b">
        <v>0</v>
      </c>
      <c r="DW274" s="571"/>
      <c r="DX274" s="571"/>
      <c r="DY274" s="571"/>
      <c r="DZ274" s="571"/>
      <c r="EA274" s="571"/>
      <c r="EB274" s="571"/>
      <c r="EC274" s="571"/>
      <c r="ED274" s="571"/>
      <c r="EE274" s="571"/>
      <c r="EF274" s="571"/>
      <c r="EG274" s="571" t="s">
        <v>1160</v>
      </c>
      <c r="EH274" s="571"/>
      <c r="EI274" s="571"/>
    </row>
    <row r="275" spans="1:139" s="544" customFormat="1" ht="39.75" customHeight="1">
      <c r="A275" s="539">
        <v>543</v>
      </c>
      <c r="B275" s="623">
        <v>38750</v>
      </c>
      <c r="C275" s="541">
        <v>38750.768055555556</v>
      </c>
      <c r="D275" s="624">
        <v>17407884</v>
      </c>
      <c r="E275" s="625" t="s">
        <v>1219</v>
      </c>
      <c r="F275" s="544" t="b">
        <v>1</v>
      </c>
      <c r="H275" s="571" t="s">
        <v>418</v>
      </c>
      <c r="I275" s="626">
        <v>14565</v>
      </c>
      <c r="J275" s="627">
        <v>66.260273972602747</v>
      </c>
      <c r="K275" s="546">
        <v>795.03616042077579</v>
      </c>
      <c r="L275" s="608" t="s">
        <v>493</v>
      </c>
      <c r="M275" s="603" t="s">
        <v>1220</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607">
        <v>0</v>
      </c>
      <c r="AK275" s="552">
        <f t="shared" si="8"/>
        <v>0</v>
      </c>
      <c r="AL275" s="603"/>
      <c r="AM275" s="604">
        <v>38750</v>
      </c>
      <c r="AN275" s="605" t="s">
        <v>2132</v>
      </c>
      <c r="AO275" s="555">
        <v>38783</v>
      </c>
      <c r="AP275" s="605" t="s">
        <v>2133</v>
      </c>
      <c r="AQ275" s="604">
        <v>38747</v>
      </c>
      <c r="AR275" s="605">
        <v>1</v>
      </c>
      <c r="AS275" s="605" t="s">
        <v>1911</v>
      </c>
      <c r="AT275" s="607">
        <v>0</v>
      </c>
      <c r="AU275" s="605">
        <v>1</v>
      </c>
      <c r="AV275" s="605">
        <v>0</v>
      </c>
      <c r="AW275" s="605">
        <v>1</v>
      </c>
      <c r="AX275" s="574" t="s">
        <v>1221</v>
      </c>
      <c r="AY275" s="605"/>
      <c r="AZ275" s="605" t="s">
        <v>1503</v>
      </c>
      <c r="BA275" s="544">
        <v>0</v>
      </c>
      <c r="BB275" s="558">
        <v>1</v>
      </c>
      <c r="BC275" s="558"/>
      <c r="BD275" s="558">
        <v>0</v>
      </c>
      <c r="BE275" s="558">
        <v>0</v>
      </c>
      <c r="BF275" s="559">
        <v>1</v>
      </c>
      <c r="BG275" s="771">
        <v>0</v>
      </c>
      <c r="BH275" s="771"/>
      <c r="BI275" s="609">
        <v>0</v>
      </c>
      <c r="BJ275" s="605"/>
      <c r="BK275" s="605">
        <v>0</v>
      </c>
      <c r="BL275" s="605"/>
      <c r="BM275" s="605">
        <v>0</v>
      </c>
      <c r="BN275" s="605"/>
      <c r="BO275" s="605">
        <v>0</v>
      </c>
      <c r="BP275" s="605">
        <v>0</v>
      </c>
      <c r="BQ275" s="605">
        <v>0</v>
      </c>
      <c r="BR275" s="605">
        <v>0</v>
      </c>
      <c r="BS275" s="610">
        <v>0</v>
      </c>
      <c r="BT275" s="573">
        <v>1</v>
      </c>
      <c r="BU275" s="574" t="s">
        <v>2134</v>
      </c>
      <c r="BV275" s="574">
        <v>0</v>
      </c>
      <c r="BW275" s="574">
        <v>0</v>
      </c>
      <c r="BX275" s="605">
        <v>0</v>
      </c>
      <c r="BY275" s="605"/>
      <c r="BZ275" s="605"/>
      <c r="CA275" s="605"/>
      <c r="CB275" s="605">
        <v>0</v>
      </c>
      <c r="CC275" s="605">
        <v>0</v>
      </c>
      <c r="CD275" s="605">
        <v>0</v>
      </c>
      <c r="CE275" s="605"/>
      <c r="CF275" s="599" t="s">
        <v>1481</v>
      </c>
      <c r="CG275" s="605" t="s">
        <v>2135</v>
      </c>
      <c r="CH275" s="605">
        <v>0</v>
      </c>
      <c r="CI275" s="605"/>
      <c r="CJ275" s="558">
        <v>0</v>
      </c>
      <c r="CK275" s="558">
        <v>0</v>
      </c>
      <c r="CL275" s="605">
        <v>0</v>
      </c>
      <c r="CM275" s="544">
        <v>80</v>
      </c>
      <c r="CN275" s="544">
        <v>58</v>
      </c>
      <c r="CP275" s="564">
        <v>29.3</v>
      </c>
      <c r="CQ275" s="564">
        <v>31</v>
      </c>
      <c r="CR275" s="566">
        <v>38749</v>
      </c>
      <c r="CS275" s="566">
        <v>38785</v>
      </c>
      <c r="CT275" s="565">
        <v>35</v>
      </c>
      <c r="CU275" s="566">
        <v>44300</v>
      </c>
      <c r="CV275" s="628">
        <v>0</v>
      </c>
      <c r="CW275" s="566"/>
      <c r="CX275" s="628">
        <v>0</v>
      </c>
      <c r="CY275" s="628">
        <v>0</v>
      </c>
      <c r="CZ275" s="628">
        <v>0</v>
      </c>
      <c r="DA275" s="566"/>
      <c r="DB275" s="628">
        <v>0</v>
      </c>
      <c r="DC275" s="566"/>
      <c r="DD275" s="628">
        <v>0</v>
      </c>
      <c r="DE275" s="566"/>
      <c r="DF275" s="628">
        <v>0</v>
      </c>
      <c r="DG275" s="566"/>
      <c r="DH275" s="566"/>
      <c r="DI275" s="571"/>
      <c r="DJ275" s="574">
        <v>1</v>
      </c>
      <c r="DK275" s="572">
        <v>139.25049309664695</v>
      </c>
      <c r="DL275" s="558"/>
      <c r="DM275" s="558"/>
      <c r="DN275" s="566">
        <v>42986</v>
      </c>
      <c r="DO275" s="571"/>
      <c r="DP275" s="571"/>
      <c r="DQ275" s="571"/>
      <c r="DR275" s="571"/>
      <c r="DS275" s="571"/>
      <c r="DT275" s="571"/>
      <c r="DU275" s="571" t="s">
        <v>1160</v>
      </c>
      <c r="DV275" s="571" t="b">
        <v>0</v>
      </c>
      <c r="DW275" s="566">
        <v>38798</v>
      </c>
      <c r="DX275" s="571" t="s">
        <v>1222</v>
      </c>
      <c r="DY275" s="571" t="s">
        <v>1223</v>
      </c>
      <c r="DZ275" s="571"/>
      <c r="EA275" s="571"/>
      <c r="EB275" s="571"/>
      <c r="EC275" s="571"/>
      <c r="ED275" s="571"/>
      <c r="EE275" s="571"/>
      <c r="EF275" s="571"/>
      <c r="EG275" s="571" t="s">
        <v>1160</v>
      </c>
      <c r="EH275" s="571"/>
      <c r="EI275" s="571"/>
    </row>
    <row r="276" spans="1:139" s="544" customFormat="1" ht="39.75" customHeight="1">
      <c r="A276" s="539">
        <v>545</v>
      </c>
      <c r="B276" s="623">
        <v>38740</v>
      </c>
      <c r="C276" s="541">
        <v>38740.694444444445</v>
      </c>
      <c r="D276" s="624">
        <v>17738476</v>
      </c>
      <c r="E276" s="625" t="s">
        <v>1224</v>
      </c>
      <c r="F276" s="544" t="b">
        <v>1</v>
      </c>
      <c r="H276" s="571" t="s">
        <v>441</v>
      </c>
      <c r="I276" s="626">
        <v>19393</v>
      </c>
      <c r="J276" s="627">
        <v>53.005479452054793</v>
      </c>
      <c r="K276" s="546">
        <v>635.99605522682441</v>
      </c>
      <c r="L276" s="608" t="s">
        <v>493</v>
      </c>
      <c r="M276" s="603" t="s">
        <v>1225</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607">
        <v>0</v>
      </c>
      <c r="AK276" s="552">
        <f t="shared" si="8"/>
        <v>0</v>
      </c>
      <c r="AL276" s="603"/>
      <c r="AM276" s="604">
        <v>38729</v>
      </c>
      <c r="AN276" s="605" t="s">
        <v>1607</v>
      </c>
      <c r="AO276" s="555">
        <v>38761</v>
      </c>
      <c r="AP276" s="608" t="s">
        <v>2136</v>
      </c>
      <c r="AQ276" s="604">
        <v>38729</v>
      </c>
      <c r="AR276" s="605">
        <v>1</v>
      </c>
      <c r="AS276" s="605"/>
      <c r="AT276" s="607">
        <v>0</v>
      </c>
      <c r="AU276" s="605">
        <v>1</v>
      </c>
      <c r="AV276" s="605">
        <v>0</v>
      </c>
      <c r="AW276" s="605">
        <v>1</v>
      </c>
      <c r="AX276" s="574" t="s">
        <v>1226</v>
      </c>
      <c r="AY276" s="605"/>
      <c r="AZ276" s="605" t="s">
        <v>1503</v>
      </c>
      <c r="BA276" s="544">
        <v>0</v>
      </c>
      <c r="BB276" s="558">
        <v>1</v>
      </c>
      <c r="BC276" s="558">
        <v>10</v>
      </c>
      <c r="BD276" s="558">
        <v>0</v>
      </c>
      <c r="BE276" s="558">
        <v>0</v>
      </c>
      <c r="BF276" s="559">
        <v>1</v>
      </c>
      <c r="BG276" s="771">
        <v>0</v>
      </c>
      <c r="BH276" s="771"/>
      <c r="BI276" s="609">
        <v>0</v>
      </c>
      <c r="BJ276" s="605"/>
      <c r="BK276" s="605">
        <v>0</v>
      </c>
      <c r="BL276" s="605"/>
      <c r="BM276" s="605">
        <v>0</v>
      </c>
      <c r="BN276" s="605"/>
      <c r="BO276" s="605">
        <v>0</v>
      </c>
      <c r="BP276" s="605">
        <v>0</v>
      </c>
      <c r="BQ276" s="605">
        <v>0</v>
      </c>
      <c r="BR276" s="605">
        <v>0</v>
      </c>
      <c r="BS276" s="610">
        <v>0</v>
      </c>
      <c r="BT276" s="573">
        <v>1</v>
      </c>
      <c r="BU276" s="574" t="s">
        <v>2009</v>
      </c>
      <c r="BV276" s="574">
        <v>0</v>
      </c>
      <c r="BW276" s="574">
        <v>0</v>
      </c>
      <c r="BX276" s="605">
        <v>0</v>
      </c>
      <c r="BY276" s="605"/>
      <c r="BZ276" s="605"/>
      <c r="CA276" s="605"/>
      <c r="CB276" s="605">
        <v>0</v>
      </c>
      <c r="CC276" s="605">
        <v>0</v>
      </c>
      <c r="CD276" s="605">
        <v>0</v>
      </c>
      <c r="CE276" s="605"/>
      <c r="CF276" s="605"/>
      <c r="CG276" s="605"/>
      <c r="CH276" s="605">
        <v>0</v>
      </c>
      <c r="CI276" s="605"/>
      <c r="CJ276" s="558">
        <v>0</v>
      </c>
      <c r="CK276" s="558">
        <v>0</v>
      </c>
      <c r="CL276" s="605">
        <v>0</v>
      </c>
      <c r="CM276" s="544">
        <v>73</v>
      </c>
      <c r="CN276" s="544">
        <v>51</v>
      </c>
      <c r="CP276" s="564">
        <v>28.9</v>
      </c>
      <c r="CQ276" s="564">
        <v>31.3</v>
      </c>
      <c r="CR276" s="566">
        <v>38733</v>
      </c>
      <c r="CS276" s="566">
        <v>38761</v>
      </c>
      <c r="CT276" s="565">
        <v>21</v>
      </c>
      <c r="CU276" s="566">
        <v>44272</v>
      </c>
      <c r="CV276" s="628">
        <v>0</v>
      </c>
      <c r="CW276" s="566"/>
      <c r="CX276" s="628">
        <v>0</v>
      </c>
      <c r="CY276" s="628">
        <v>0</v>
      </c>
      <c r="CZ276" s="628">
        <v>0</v>
      </c>
      <c r="DA276" s="566"/>
      <c r="DB276" s="628">
        <v>0</v>
      </c>
      <c r="DC276" s="566"/>
      <c r="DD276" s="628">
        <v>0</v>
      </c>
      <c r="DE276" s="566"/>
      <c r="DF276" s="628">
        <v>0</v>
      </c>
      <c r="DG276" s="566"/>
      <c r="DH276" s="566"/>
      <c r="DI276" s="571"/>
      <c r="DJ276" s="574">
        <v>0</v>
      </c>
      <c r="DK276" s="572"/>
      <c r="DL276" s="558"/>
      <c r="DM276" s="558"/>
      <c r="DN276" s="571"/>
      <c r="DO276" s="571"/>
      <c r="DP276" s="571"/>
      <c r="DQ276" s="571"/>
      <c r="DR276" s="571"/>
      <c r="DS276" s="571"/>
      <c r="DT276" s="571"/>
      <c r="DU276" s="571" t="s">
        <v>1160</v>
      </c>
      <c r="DV276" s="571" t="b">
        <v>0</v>
      </c>
      <c r="DW276" s="571"/>
      <c r="DX276" s="571"/>
      <c r="DY276" s="571"/>
      <c r="DZ276" s="571"/>
      <c r="EA276" s="571"/>
      <c r="EB276" s="571"/>
      <c r="EC276" s="571"/>
      <c r="ED276" s="571"/>
      <c r="EE276" s="571"/>
      <c r="EF276" s="571"/>
      <c r="EG276" s="571" t="s">
        <v>1160</v>
      </c>
      <c r="EH276" s="571"/>
      <c r="EI276" s="571"/>
    </row>
    <row r="277" spans="1:139" s="48" customFormat="1" ht="39.75" customHeight="1">
      <c r="A277" s="60">
        <v>549</v>
      </c>
      <c r="B277" s="149">
        <v>38658</v>
      </c>
      <c r="C277" s="62">
        <v>38658.59375</v>
      </c>
      <c r="D277" s="150">
        <v>4022773</v>
      </c>
      <c r="E277" s="151" t="s">
        <v>1227</v>
      </c>
      <c r="F277" s="48" t="b">
        <v>0</v>
      </c>
      <c r="G277" s="48" t="s">
        <v>1487</v>
      </c>
      <c r="H277" s="143" t="s">
        <v>441</v>
      </c>
      <c r="I277" s="152">
        <v>9642</v>
      </c>
      <c r="J277" s="153">
        <v>79.495890410958907</v>
      </c>
      <c r="K277" s="85">
        <v>953.84615384615381</v>
      </c>
      <c r="L277" s="143" t="s">
        <v>1228</v>
      </c>
      <c r="M277" s="495" t="s">
        <v>1229</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497"/>
      <c r="AK277" s="324">
        <f t="shared" si="8"/>
        <v>0</v>
      </c>
      <c r="AL277" s="495"/>
      <c r="AM277" s="498"/>
      <c r="AN277" s="138"/>
      <c r="AO277" s="61"/>
      <c r="AP277" s="143"/>
      <c r="AQ277" s="498"/>
      <c r="AR277" s="138"/>
      <c r="AS277" s="138"/>
      <c r="AT277" s="497"/>
      <c r="AU277" s="138"/>
      <c r="AV277" s="138"/>
      <c r="AW277" s="138"/>
      <c r="AX277" s="138" t="s">
        <v>1230</v>
      </c>
      <c r="AY277" s="138"/>
      <c r="AZ277" s="138"/>
      <c r="BB277" s="82"/>
      <c r="BC277" s="82"/>
      <c r="BD277" s="82"/>
      <c r="BE277" s="82"/>
      <c r="BF277" s="235"/>
      <c r="BG277" s="767"/>
      <c r="BH277" s="767"/>
      <c r="BI277" s="228"/>
      <c r="BJ277" s="138"/>
      <c r="BK277" s="138"/>
      <c r="BL277" s="138"/>
      <c r="BM277" s="138"/>
      <c r="BN277" s="138"/>
      <c r="BO277" s="138"/>
      <c r="BP277" s="138"/>
      <c r="BQ277" s="138"/>
      <c r="BR277" s="138"/>
      <c r="BS277" s="247"/>
      <c r="BT277" s="499" t="s">
        <v>245</v>
      </c>
      <c r="BU277" s="500"/>
      <c r="BV277" s="500"/>
      <c r="BW277" s="500"/>
      <c r="BX277" s="138"/>
      <c r="BY277" s="138"/>
      <c r="BZ277" s="138"/>
      <c r="CA277" s="138"/>
      <c r="CB277" s="138"/>
      <c r="CC277" s="138"/>
      <c r="CD277" s="138"/>
      <c r="CE277" s="138"/>
      <c r="CF277" s="138">
        <v>1</v>
      </c>
      <c r="CG277" s="138"/>
      <c r="CH277" s="138"/>
      <c r="CI277" s="138"/>
      <c r="CJ277" s="82">
        <v>0</v>
      </c>
      <c r="CK277" s="82">
        <v>0</v>
      </c>
      <c r="CL277" s="138"/>
      <c r="CP277" s="505"/>
      <c r="CQ277" s="505"/>
      <c r="CR277" s="84">
        <v>38633</v>
      </c>
      <c r="CS277" s="84">
        <v>38686</v>
      </c>
      <c r="CT277" s="83">
        <v>28</v>
      </c>
      <c r="CU277" s="84"/>
      <c r="CV277" s="154"/>
      <c r="CW277" s="84"/>
      <c r="CX277" s="154"/>
      <c r="CY277" s="154"/>
      <c r="CZ277" s="154"/>
      <c r="DA277" s="84"/>
      <c r="DB277" s="154"/>
      <c r="DC277" s="84"/>
      <c r="DD277" s="154"/>
      <c r="DE277" s="84"/>
      <c r="DF277" s="154"/>
      <c r="DG277" s="84"/>
      <c r="DH277" s="84"/>
      <c r="DI277" s="84"/>
      <c r="DJ277" s="82">
        <v>1</v>
      </c>
      <c r="DK277" s="155">
        <v>0.92044707429322814</v>
      </c>
      <c r="DL277" s="82" t="b">
        <v>1</v>
      </c>
      <c r="DM277" s="82"/>
      <c r="DN277" s="84">
        <v>38686</v>
      </c>
      <c r="DO277" s="84" t="s">
        <v>1231</v>
      </c>
      <c r="DP277" s="643" t="s">
        <v>1232</v>
      </c>
      <c r="DQ277" s="71" t="s">
        <v>1233</v>
      </c>
      <c r="DR277" s="143" t="s">
        <v>1234</v>
      </c>
      <c r="DS277" s="84"/>
      <c r="DT277" s="498" t="s">
        <v>1235</v>
      </c>
      <c r="DU277" s="143"/>
      <c r="DV277" s="143" t="s">
        <v>1095</v>
      </c>
      <c r="DW277" s="84"/>
      <c r="DX277" s="84"/>
      <c r="DY277" s="84"/>
      <c r="DZ277" s="84"/>
      <c r="EA277" s="84"/>
      <c r="EB277" s="84"/>
      <c r="EC277" s="84"/>
      <c r="ED277" s="84"/>
      <c r="EE277" s="84"/>
      <c r="EF277" s="84"/>
      <c r="EG277" s="143" t="s">
        <v>1160</v>
      </c>
      <c r="EH277" s="143"/>
      <c r="EI277" s="143"/>
    </row>
    <row r="278" spans="1:139" s="48" customFormat="1" ht="39.75" customHeight="1">
      <c r="A278" s="60">
        <v>555</v>
      </c>
      <c r="B278" s="149">
        <v>38548</v>
      </c>
      <c r="C278" s="62">
        <v>38548.322916666664</v>
      </c>
      <c r="D278" s="150">
        <v>6325414</v>
      </c>
      <c r="E278" s="151" t="s">
        <v>1236</v>
      </c>
      <c r="F278" s="48" t="b">
        <v>0</v>
      </c>
      <c r="G278" s="48" t="s">
        <v>1487</v>
      </c>
      <c r="H278" s="143" t="s">
        <v>418</v>
      </c>
      <c r="I278" s="152">
        <v>11462</v>
      </c>
      <c r="J278" s="153">
        <v>74.208219178082189</v>
      </c>
      <c r="K278" s="85">
        <v>890.40105193951342</v>
      </c>
      <c r="L278" s="143" t="s">
        <v>1228</v>
      </c>
      <c r="M278" s="495" t="s">
        <v>1237</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154"/>
      <c r="AK278" s="324">
        <f t="shared" si="8"/>
        <v>0</v>
      </c>
      <c r="AL278" s="645"/>
      <c r="AM278" s="84"/>
      <c r="AN278" s="143"/>
      <c r="AO278" s="61"/>
      <c r="AP278" s="143"/>
      <c r="AQ278" s="84"/>
      <c r="AR278" s="143"/>
      <c r="AS278" s="143"/>
      <c r="AT278" s="154"/>
      <c r="AU278" s="143"/>
      <c r="AV278" s="143"/>
      <c r="AW278" s="143"/>
      <c r="AX278" s="138" t="s">
        <v>1238</v>
      </c>
      <c r="AY278" s="143"/>
      <c r="AZ278" s="143"/>
      <c r="BB278" s="82"/>
      <c r="BC278" s="82"/>
      <c r="BD278" s="82"/>
      <c r="BE278" s="82"/>
      <c r="BF278" s="235"/>
      <c r="BG278" s="767"/>
      <c r="BH278" s="767"/>
      <c r="BI278" s="646"/>
      <c r="BJ278" s="143"/>
      <c r="BK278" s="143"/>
      <c r="BL278" s="143"/>
      <c r="BM278" s="143"/>
      <c r="BN278" s="143"/>
      <c r="BO278" s="143"/>
      <c r="BP278" s="143"/>
      <c r="BQ278" s="143"/>
      <c r="BR278" s="143"/>
      <c r="BS278" s="249"/>
      <c r="BT278" s="499" t="s">
        <v>245</v>
      </c>
      <c r="BU278" s="500"/>
      <c r="BV278" s="500"/>
      <c r="BW278" s="500"/>
      <c r="BX278" s="143"/>
      <c r="BY278" s="143"/>
      <c r="BZ278" s="143"/>
      <c r="CA278" s="143"/>
      <c r="CB278" s="143"/>
      <c r="CC278" s="143"/>
      <c r="CD278" s="143"/>
      <c r="CE278" s="143"/>
      <c r="CF278" s="143"/>
      <c r="CG278" s="143"/>
      <c r="CH278" s="143"/>
      <c r="CI278" s="143"/>
      <c r="CJ278" s="82">
        <v>0</v>
      </c>
      <c r="CK278" s="82">
        <v>0</v>
      </c>
      <c r="CL278" s="143"/>
      <c r="CP278" s="505"/>
      <c r="CQ278" s="505"/>
      <c r="CR278" s="84">
        <v>38498</v>
      </c>
      <c r="CS278" s="84">
        <v>38611</v>
      </c>
      <c r="CT278" s="83">
        <v>63</v>
      </c>
      <c r="CU278" s="84"/>
      <c r="CV278" s="154"/>
      <c r="CW278" s="84"/>
      <c r="CX278" s="154"/>
      <c r="CY278" s="154"/>
      <c r="CZ278" s="154"/>
      <c r="DA278" s="84"/>
      <c r="DB278" s="154"/>
      <c r="DC278" s="84"/>
      <c r="DD278" s="154"/>
      <c r="DE278" s="84"/>
      <c r="DF278" s="154"/>
      <c r="DG278" s="84"/>
      <c r="DH278" s="84"/>
      <c r="DI278" s="143"/>
      <c r="DJ278" s="138">
        <v>0</v>
      </c>
      <c r="DK278" s="155"/>
      <c r="DL278" s="82"/>
      <c r="DM278" s="82"/>
      <c r="DN278" s="143"/>
      <c r="DO278" s="143"/>
      <c r="DP278" s="143"/>
      <c r="DQ278" s="143"/>
      <c r="DR278" s="143"/>
      <c r="DS278" s="143"/>
      <c r="DT278" s="143"/>
      <c r="DU278" s="143" t="s">
        <v>1160</v>
      </c>
      <c r="DV278" s="143" t="s">
        <v>1095</v>
      </c>
      <c r="DW278" s="143"/>
      <c r="DX278" s="143"/>
      <c r="DY278" s="143"/>
      <c r="DZ278" s="143"/>
      <c r="EA278" s="143"/>
      <c r="EB278" s="143"/>
      <c r="EC278" s="143"/>
      <c r="ED278" s="143"/>
      <c r="EE278" s="143"/>
      <c r="EF278" s="143"/>
      <c r="EG278" s="143" t="s">
        <v>1160</v>
      </c>
      <c r="EH278" s="143"/>
      <c r="EI278" s="143"/>
    </row>
    <row r="279" spans="1:139" s="544" customFormat="1" ht="39.75" customHeight="1">
      <c r="A279" s="539">
        <v>556</v>
      </c>
      <c r="B279" s="623">
        <v>38539</v>
      </c>
      <c r="C279" s="541">
        <v>38539.454861111109</v>
      </c>
      <c r="D279" s="624">
        <v>8678299</v>
      </c>
      <c r="E279" s="625" t="s">
        <v>1239</v>
      </c>
      <c r="F279" s="544" t="b">
        <v>1</v>
      </c>
      <c r="H279" s="571" t="s">
        <v>441</v>
      </c>
      <c r="I279" s="626">
        <v>30050</v>
      </c>
      <c r="J279" s="627">
        <v>23.257534246575343</v>
      </c>
      <c r="K279" s="546">
        <v>279.05982905982904</v>
      </c>
      <c r="L279" s="571" t="s">
        <v>493</v>
      </c>
      <c r="M279" s="547" t="s">
        <v>695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v>0</v>
      </c>
      <c r="AK279" s="552">
        <f t="shared" si="8"/>
        <v>0</v>
      </c>
      <c r="AL279" s="553"/>
      <c r="AM279" s="554">
        <v>38538</v>
      </c>
      <c r="AN279" s="549" t="s">
        <v>1598</v>
      </c>
      <c r="AO279" s="555">
        <v>38567</v>
      </c>
      <c r="AP279" s="539" t="s">
        <v>223</v>
      </c>
      <c r="AQ279" s="554"/>
      <c r="AR279" s="549">
        <v>0</v>
      </c>
      <c r="AS279" s="549"/>
      <c r="AT279" s="552">
        <v>0</v>
      </c>
      <c r="AU279" s="549">
        <v>0</v>
      </c>
      <c r="AV279" s="549">
        <v>0</v>
      </c>
      <c r="AW279" s="549">
        <v>1</v>
      </c>
      <c r="AX279" s="574" t="s">
        <v>1240</v>
      </c>
      <c r="AY279" s="574"/>
      <c r="AZ279" s="574" t="s">
        <v>1747</v>
      </c>
      <c r="BA279" s="544">
        <v>0</v>
      </c>
      <c r="BB279" s="558">
        <v>1</v>
      </c>
      <c r="BC279" s="558">
        <v>20</v>
      </c>
      <c r="BD279" s="558">
        <v>0</v>
      </c>
      <c r="BE279" s="558">
        <v>0</v>
      </c>
      <c r="BF279" s="559">
        <v>0</v>
      </c>
      <c r="BG279" s="771">
        <v>0</v>
      </c>
      <c r="BH279" s="771"/>
      <c r="BI279" s="573">
        <v>1</v>
      </c>
      <c r="BJ279" s="574"/>
      <c r="BK279" s="574">
        <v>1</v>
      </c>
      <c r="BL279" s="574" t="s">
        <v>1718</v>
      </c>
      <c r="BM279" s="574">
        <v>1</v>
      </c>
      <c r="BN279" s="574" t="s">
        <v>2137</v>
      </c>
      <c r="BO279" s="574">
        <v>0</v>
      </c>
      <c r="BP279" s="574">
        <v>0</v>
      </c>
      <c r="BQ279" s="574">
        <v>0</v>
      </c>
      <c r="BR279" s="574">
        <v>1</v>
      </c>
      <c r="BS279" s="562">
        <v>0</v>
      </c>
      <c r="BT279" s="573">
        <v>0</v>
      </c>
      <c r="BU279" s="574"/>
      <c r="BV279" s="574">
        <v>0</v>
      </c>
      <c r="BW279" s="574">
        <v>0</v>
      </c>
      <c r="BX279" s="574">
        <v>0</v>
      </c>
      <c r="BY279" s="574"/>
      <c r="BZ279" s="574"/>
      <c r="CA279" s="557"/>
      <c r="CB279" s="578">
        <v>0</v>
      </c>
      <c r="CC279" s="578">
        <v>0</v>
      </c>
      <c r="CD279" s="578">
        <v>0</v>
      </c>
      <c r="CE279" s="578"/>
      <c r="CF279" s="578"/>
      <c r="CG279" s="574"/>
      <c r="CH279" s="574">
        <v>0</v>
      </c>
      <c r="CI279" s="574"/>
      <c r="CJ279" s="558">
        <v>0</v>
      </c>
      <c r="CK279" s="558">
        <v>0</v>
      </c>
      <c r="CL279" s="574">
        <v>0</v>
      </c>
      <c r="CM279" s="544">
        <v>106</v>
      </c>
      <c r="CN279" s="544">
        <v>82</v>
      </c>
      <c r="CP279" s="564">
        <v>27.9</v>
      </c>
      <c r="CQ279" s="564">
        <v>29.1</v>
      </c>
      <c r="CR279" s="566">
        <v>38539</v>
      </c>
      <c r="CS279" s="566">
        <v>38562</v>
      </c>
      <c r="CT279" s="565">
        <v>23</v>
      </c>
      <c r="CU279" s="566">
        <v>38586</v>
      </c>
      <c r="CV279" s="628">
        <v>0</v>
      </c>
      <c r="CW279" s="566"/>
      <c r="CX279" s="628">
        <v>0</v>
      </c>
      <c r="CY279" s="628">
        <v>0</v>
      </c>
      <c r="CZ279" s="628">
        <v>0</v>
      </c>
      <c r="DA279" s="566"/>
      <c r="DB279" s="628">
        <v>0</v>
      </c>
      <c r="DC279" s="566"/>
      <c r="DD279" s="628">
        <v>0</v>
      </c>
      <c r="DE279" s="566"/>
      <c r="DF279" s="628">
        <v>0</v>
      </c>
      <c r="DG279" s="566"/>
      <c r="DH279" s="566"/>
      <c r="DI279" s="571" t="s">
        <v>986</v>
      </c>
      <c r="DJ279" s="574">
        <v>0</v>
      </c>
      <c r="DK279" s="572"/>
      <c r="DL279" s="558"/>
      <c r="DM279" s="558"/>
      <c r="DN279" s="571"/>
      <c r="DO279" s="571"/>
      <c r="DP279" s="571"/>
      <c r="DQ279" s="571"/>
      <c r="DR279" s="571"/>
      <c r="DS279" s="571"/>
      <c r="DT279" s="571"/>
      <c r="DU279" s="571"/>
      <c r="DV279" s="571" t="b">
        <v>0</v>
      </c>
      <c r="DW279" s="571"/>
      <c r="DX279" s="571"/>
      <c r="DY279" s="571"/>
      <c r="DZ279" s="571"/>
      <c r="EA279" s="571"/>
      <c r="EB279" s="571"/>
      <c r="EC279" s="571"/>
      <c r="ED279" s="571"/>
      <c r="EE279" s="571"/>
      <c r="EF279" s="571"/>
      <c r="EG279" s="571"/>
      <c r="EH279" s="571"/>
      <c r="EI279" s="571"/>
    </row>
    <row r="280" spans="1:139" s="48" customFormat="1" ht="39.75" customHeight="1">
      <c r="A280" s="60">
        <v>566</v>
      </c>
      <c r="B280" s="149">
        <v>38401</v>
      </c>
      <c r="C280" s="62">
        <v>38401.647222222222</v>
      </c>
      <c r="D280" s="150">
        <v>16266066</v>
      </c>
      <c r="E280" s="151" t="s">
        <v>1241</v>
      </c>
      <c r="F280" s="48" t="b">
        <v>0</v>
      </c>
      <c r="G280" s="48" t="s">
        <v>1558</v>
      </c>
      <c r="H280" s="143" t="s">
        <v>441</v>
      </c>
      <c r="I280" s="152">
        <v>14508</v>
      </c>
      <c r="J280" s="153">
        <v>65.460273972602735</v>
      </c>
      <c r="K280" s="85">
        <v>785.43721236028921</v>
      </c>
      <c r="L280" s="143" t="s">
        <v>1228</v>
      </c>
      <c r="M280" s="495" t="s">
        <v>1242</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c r="AK280" s="324">
        <f t="shared" si="8"/>
        <v>0</v>
      </c>
      <c r="AL280" s="187"/>
      <c r="AM280" s="191"/>
      <c r="AN280" s="51" t="s">
        <v>2061</v>
      </c>
      <c r="AO280" s="61">
        <v>38432</v>
      </c>
      <c r="AP280" s="60" t="s">
        <v>1243</v>
      </c>
      <c r="AQ280" s="191"/>
      <c r="AR280" s="51">
        <v>0</v>
      </c>
      <c r="AS280" s="51"/>
      <c r="AT280" s="324">
        <v>0</v>
      </c>
      <c r="AU280" s="51">
        <v>1</v>
      </c>
      <c r="AV280" s="51"/>
      <c r="AW280" s="51"/>
      <c r="AX280" s="138" t="s">
        <v>1244</v>
      </c>
      <c r="AY280" s="138"/>
      <c r="AZ280" s="138" t="s">
        <v>1503</v>
      </c>
      <c r="BB280" s="82"/>
      <c r="BC280" s="82" t="e">
        <v>#REF!</v>
      </c>
      <c r="BD280" s="82"/>
      <c r="BE280" s="82"/>
      <c r="BF280" s="235"/>
      <c r="BG280" s="767"/>
      <c r="BH280" s="767"/>
      <c r="BI280" s="228">
        <v>1</v>
      </c>
      <c r="BJ280" s="138"/>
      <c r="BK280" s="138"/>
      <c r="BL280" s="138"/>
      <c r="BM280" s="138"/>
      <c r="BN280" s="138"/>
      <c r="BO280" s="138"/>
      <c r="BP280" s="138"/>
      <c r="BQ280" s="138"/>
      <c r="BR280" s="138"/>
      <c r="BS280" s="247" t="s">
        <v>473</v>
      </c>
      <c r="BT280" s="228"/>
      <c r="BU280" s="138"/>
      <c r="BV280" s="138"/>
      <c r="BW280" s="138"/>
      <c r="BX280" s="138"/>
      <c r="BY280" s="138"/>
      <c r="BZ280" s="138"/>
      <c r="CA280" s="71" t="e">
        <v>#REF!</v>
      </c>
      <c r="CB280" s="144"/>
      <c r="CC280" s="144"/>
      <c r="CD280" s="144"/>
      <c r="CE280" s="144"/>
      <c r="CF280" s="144"/>
      <c r="CG280" s="138"/>
      <c r="CH280" s="138"/>
      <c r="CI280" s="138"/>
      <c r="CJ280" s="82">
        <v>0</v>
      </c>
      <c r="CK280" s="82">
        <v>0</v>
      </c>
      <c r="CL280" s="138"/>
      <c r="CP280" s="505"/>
      <c r="CQ280" s="505"/>
      <c r="CR280" s="84">
        <v>38398</v>
      </c>
      <c r="CS280" s="84">
        <v>38413</v>
      </c>
      <c r="CT280" s="83">
        <v>12</v>
      </c>
      <c r="CU280" s="84"/>
      <c r="CV280" s="154"/>
      <c r="CW280" s="84"/>
      <c r="CX280" s="154"/>
      <c r="CY280" s="154"/>
      <c r="CZ280" s="154"/>
      <c r="DA280" s="84"/>
      <c r="DB280" s="154"/>
      <c r="DC280" s="84"/>
      <c r="DD280" s="154"/>
      <c r="DE280" s="84"/>
      <c r="DF280" s="154"/>
      <c r="DG280" s="84"/>
      <c r="DH280" s="87" t="s">
        <v>1245</v>
      </c>
      <c r="DI280" s="143"/>
      <c r="DJ280" s="138">
        <v>0</v>
      </c>
      <c r="DK280" s="155"/>
      <c r="DL280" s="82"/>
      <c r="DM280" s="82"/>
      <c r="DN280" s="143"/>
      <c r="DO280" s="143"/>
      <c r="DP280" s="143"/>
      <c r="DQ280" s="143"/>
      <c r="DR280" s="143"/>
      <c r="DS280" s="143"/>
      <c r="DT280" s="143"/>
      <c r="DU280" s="143" t="s">
        <v>1160</v>
      </c>
      <c r="DV280" s="143" t="b">
        <v>0</v>
      </c>
      <c r="DW280" s="143"/>
      <c r="DX280" s="143"/>
      <c r="DY280" s="143"/>
      <c r="DZ280" s="143"/>
      <c r="EA280" s="143"/>
      <c r="EB280" s="143"/>
      <c r="EC280" s="143"/>
      <c r="ED280" s="143"/>
      <c r="EE280" s="143"/>
      <c r="EF280" s="143"/>
      <c r="EG280" s="143" t="s">
        <v>1160</v>
      </c>
      <c r="EH280" s="143"/>
      <c r="EI280" s="143"/>
    </row>
    <row r="281" spans="1:139" s="48" customFormat="1" ht="39.75" customHeight="1">
      <c r="A281" s="60">
        <v>567</v>
      </c>
      <c r="B281" s="149">
        <v>38400</v>
      </c>
      <c r="C281" s="62">
        <v>38400.5625</v>
      </c>
      <c r="D281" s="150">
        <v>15735275</v>
      </c>
      <c r="E281" s="151" t="s">
        <v>1246</v>
      </c>
      <c r="F281" s="48" t="b">
        <v>0</v>
      </c>
      <c r="G281" s="48" t="s">
        <v>1558</v>
      </c>
      <c r="H281" s="143" t="s">
        <v>418</v>
      </c>
      <c r="I281" s="152">
        <v>28528</v>
      </c>
      <c r="J281" s="153">
        <v>27.046575342465754</v>
      </c>
      <c r="K281" s="85">
        <v>324.52333990795529</v>
      </c>
      <c r="L281" s="143" t="s">
        <v>493</v>
      </c>
      <c r="M281" s="495" t="s">
        <v>1247</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c r="AK281" s="324">
        <f t="shared" si="8"/>
        <v>0</v>
      </c>
      <c r="AL281" s="187"/>
      <c r="AM281" s="191"/>
      <c r="AN281" s="51"/>
      <c r="AO281" s="61"/>
      <c r="AP281" s="60"/>
      <c r="AQ281" s="191"/>
      <c r="AR281" s="51"/>
      <c r="AS281" s="51"/>
      <c r="AT281" s="324"/>
      <c r="AU281" s="51"/>
      <c r="AV281" s="51"/>
      <c r="AW281" s="51"/>
      <c r="AX281" s="138" t="s">
        <v>1248</v>
      </c>
      <c r="AY281" s="138"/>
      <c r="AZ281" s="138">
        <v>1</v>
      </c>
      <c r="BB281" s="82"/>
      <c r="BC281" s="82" t="e">
        <v>#REF!</v>
      </c>
      <c r="BD281" s="82"/>
      <c r="BE281" s="82"/>
      <c r="BF281" s="235"/>
      <c r="BG281" s="767"/>
      <c r="BH281" s="767"/>
      <c r="BI281" s="228">
        <v>1</v>
      </c>
      <c r="BJ281" s="138"/>
      <c r="BK281" s="138"/>
      <c r="BL281" s="138"/>
      <c r="BM281" s="138"/>
      <c r="BN281" s="138"/>
      <c r="BO281" s="138"/>
      <c r="BP281" s="138"/>
      <c r="BQ281" s="138"/>
      <c r="BR281" s="138"/>
      <c r="BS281" s="247" t="s">
        <v>261</v>
      </c>
      <c r="BT281" s="228"/>
      <c r="BU281" s="138"/>
      <c r="BV281" s="138"/>
      <c r="BW281" s="138"/>
      <c r="BX281" s="138"/>
      <c r="BY281" s="138"/>
      <c r="BZ281" s="138"/>
      <c r="CA281" s="71" t="e">
        <v>#REF!</v>
      </c>
      <c r="CB281" s="144"/>
      <c r="CC281" s="144"/>
      <c r="CD281" s="144"/>
      <c r="CE281" s="144"/>
      <c r="CF281" s="144"/>
      <c r="CG281" s="138"/>
      <c r="CH281" s="138"/>
      <c r="CI281" s="138"/>
      <c r="CJ281" s="82">
        <v>0</v>
      </c>
      <c r="CK281" s="82">
        <v>0</v>
      </c>
      <c r="CL281" s="138"/>
      <c r="CP281" s="505"/>
      <c r="CQ281" s="505"/>
      <c r="CR281" s="84">
        <v>38397</v>
      </c>
      <c r="CS281" s="84">
        <v>38418</v>
      </c>
      <c r="CT281" s="83">
        <v>18</v>
      </c>
      <c r="CU281" s="84"/>
      <c r="CV281" s="154"/>
      <c r="CW281" s="84"/>
      <c r="CX281" s="154"/>
      <c r="CY281" s="154"/>
      <c r="CZ281" s="154"/>
      <c r="DA281" s="84"/>
      <c r="DB281" s="154"/>
      <c r="DC281" s="84"/>
      <c r="DD281" s="154"/>
      <c r="DE281" s="84"/>
      <c r="DF281" s="154"/>
      <c r="DG281" s="84"/>
      <c r="DH281" s="87" t="s">
        <v>220</v>
      </c>
      <c r="DI281" s="143"/>
      <c r="DJ281" s="138">
        <v>0</v>
      </c>
      <c r="DK281" s="155"/>
      <c r="DL281" s="82"/>
      <c r="DM281" s="82"/>
      <c r="DN281" s="143"/>
      <c r="DO281" s="143"/>
      <c r="DP281" s="143"/>
      <c r="DQ281" s="143"/>
      <c r="DR281" s="143"/>
      <c r="DS281" s="143"/>
      <c r="DT281" s="143"/>
      <c r="DU281" s="143" t="s">
        <v>1160</v>
      </c>
      <c r="DV281" s="143" t="b">
        <v>0</v>
      </c>
      <c r="DW281" s="143"/>
      <c r="DX281" s="143"/>
      <c r="DY281" s="143"/>
      <c r="DZ281" s="143"/>
      <c r="EA281" s="143"/>
      <c r="EB281" s="143"/>
      <c r="EC281" s="143"/>
      <c r="ED281" s="143"/>
      <c r="EE281" s="143"/>
      <c r="EF281" s="143"/>
      <c r="EG281" s="143" t="s">
        <v>1160</v>
      </c>
      <c r="EH281" s="143"/>
      <c r="EI281" s="143"/>
    </row>
    <row r="282" spans="1:139" s="544" customFormat="1" ht="39.75" customHeight="1">
      <c r="A282" s="539">
        <v>569</v>
      </c>
      <c r="B282" s="623">
        <v>38386</v>
      </c>
      <c r="C282" s="541">
        <v>38386.675694444442</v>
      </c>
      <c r="D282" s="624">
        <v>13130803</v>
      </c>
      <c r="E282" s="625" t="s">
        <v>1249</v>
      </c>
      <c r="F282" s="544" t="b">
        <v>1</v>
      </c>
      <c r="H282" s="571" t="s">
        <v>418</v>
      </c>
      <c r="I282" s="626">
        <v>18408</v>
      </c>
      <c r="J282" s="627">
        <v>54.734246575342468</v>
      </c>
      <c r="K282" s="546">
        <v>656.7389875082182</v>
      </c>
      <c r="L282" s="571" t="s">
        <v>1228</v>
      </c>
      <c r="M282" s="547" t="s">
        <v>1250</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v>0</v>
      </c>
      <c r="AK282" s="552">
        <f t="shared" si="8"/>
        <v>0</v>
      </c>
      <c r="AL282" s="553"/>
      <c r="AM282" s="554">
        <v>38367</v>
      </c>
      <c r="AN282" s="549" t="s">
        <v>2138</v>
      </c>
      <c r="AO282" s="555">
        <v>38414</v>
      </c>
      <c r="AP282" s="539" t="s">
        <v>187</v>
      </c>
      <c r="AQ282" s="554">
        <v>38366</v>
      </c>
      <c r="AR282" s="549">
        <v>1</v>
      </c>
      <c r="AS282" s="549" t="s">
        <v>1251</v>
      </c>
      <c r="AT282" s="552">
        <v>0</v>
      </c>
      <c r="AU282" s="549">
        <v>1</v>
      </c>
      <c r="AV282" s="549">
        <v>1</v>
      </c>
      <c r="AW282" s="549">
        <v>0</v>
      </c>
      <c r="AX282" s="574" t="s">
        <v>1252</v>
      </c>
      <c r="AY282" s="574"/>
      <c r="AZ282" s="574" t="s">
        <v>1503</v>
      </c>
      <c r="BA282" s="544">
        <v>0</v>
      </c>
      <c r="BB282" s="558">
        <v>1</v>
      </c>
      <c r="BC282" s="558"/>
      <c r="BD282" s="558">
        <v>1</v>
      </c>
      <c r="BE282" s="558">
        <v>0</v>
      </c>
      <c r="BF282" s="559">
        <v>0</v>
      </c>
      <c r="BG282" s="771">
        <v>0</v>
      </c>
      <c r="BH282" s="771"/>
      <c r="BI282" s="573">
        <v>1</v>
      </c>
      <c r="BJ282" s="574"/>
      <c r="BK282" s="574">
        <v>1</v>
      </c>
      <c r="BL282" s="574" t="s">
        <v>2139</v>
      </c>
      <c r="BM282" s="574">
        <v>1</v>
      </c>
      <c r="BN282" s="574" t="s">
        <v>2140</v>
      </c>
      <c r="BO282" s="574">
        <v>1</v>
      </c>
      <c r="BP282" s="574">
        <v>0</v>
      </c>
      <c r="BQ282" s="574">
        <v>0</v>
      </c>
      <c r="BR282" s="574">
        <v>0</v>
      </c>
      <c r="BS282" s="569">
        <v>1</v>
      </c>
      <c r="BT282" s="573">
        <v>0</v>
      </c>
      <c r="BU282" s="574"/>
      <c r="BV282" s="574">
        <v>0</v>
      </c>
      <c r="BW282" s="574">
        <v>1</v>
      </c>
      <c r="BX282" s="574">
        <v>1</v>
      </c>
      <c r="BY282" s="574"/>
      <c r="BZ282" s="574" t="s">
        <v>1507</v>
      </c>
      <c r="CA282" s="557" t="s">
        <v>2141</v>
      </c>
      <c r="CB282" s="578">
        <v>0</v>
      </c>
      <c r="CC282" s="578">
        <v>0</v>
      </c>
      <c r="CD282" s="578">
        <v>0</v>
      </c>
      <c r="CE282" s="578"/>
      <c r="CF282" s="578"/>
      <c r="CG282" s="574"/>
      <c r="CH282" s="574">
        <v>0</v>
      </c>
      <c r="CI282" s="574"/>
      <c r="CJ282" s="558">
        <v>0</v>
      </c>
      <c r="CK282" s="558">
        <v>0</v>
      </c>
      <c r="CL282" s="574">
        <v>0</v>
      </c>
      <c r="CM282" s="544">
        <v>203</v>
      </c>
      <c r="CN282" s="544">
        <v>156</v>
      </c>
      <c r="CP282" s="564">
        <v>25.5</v>
      </c>
      <c r="CQ282" s="564">
        <v>27.1</v>
      </c>
      <c r="CR282" s="566">
        <v>38369</v>
      </c>
      <c r="CS282" s="566">
        <v>38413</v>
      </c>
      <c r="CT282" s="565">
        <v>27</v>
      </c>
      <c r="CU282" s="566">
        <v>42228</v>
      </c>
      <c r="CV282" s="628">
        <v>0</v>
      </c>
      <c r="CW282" s="566"/>
      <c r="CX282" s="628">
        <v>0</v>
      </c>
      <c r="CY282" s="628">
        <v>0</v>
      </c>
      <c r="CZ282" s="628">
        <v>0</v>
      </c>
      <c r="DA282" s="566"/>
      <c r="DB282" s="628">
        <v>0</v>
      </c>
      <c r="DC282" s="566"/>
      <c r="DD282" s="628">
        <v>0</v>
      </c>
      <c r="DE282" s="566"/>
      <c r="DF282" s="628">
        <v>0</v>
      </c>
      <c r="DG282" s="566"/>
      <c r="DH282" s="566"/>
      <c r="DI282" s="571"/>
      <c r="DJ282" s="574">
        <v>0</v>
      </c>
      <c r="DK282" s="572"/>
      <c r="DL282" s="558"/>
      <c r="DM282" s="558"/>
      <c r="DN282" s="571"/>
      <c r="DO282" s="571"/>
      <c r="DP282" s="571"/>
      <c r="DQ282" s="571"/>
      <c r="DR282" s="571"/>
      <c r="DS282" s="571"/>
      <c r="DT282" s="571"/>
      <c r="DU282" s="571"/>
      <c r="DV282" s="571" t="b">
        <v>0</v>
      </c>
      <c r="DW282" s="571"/>
      <c r="DX282" s="571"/>
      <c r="DY282" s="571"/>
      <c r="DZ282" s="571"/>
      <c r="EA282" s="571"/>
      <c r="EB282" s="571"/>
      <c r="EC282" s="571"/>
      <c r="ED282" s="571"/>
      <c r="EE282" s="571"/>
      <c r="EF282" s="571"/>
      <c r="EG282" s="571"/>
      <c r="EH282" s="571"/>
      <c r="EI282" s="571"/>
    </row>
    <row r="283" spans="1:139" s="544" customFormat="1" ht="39.75" customHeight="1">
      <c r="A283" s="539">
        <v>570</v>
      </c>
      <c r="B283" s="623">
        <v>38384</v>
      </c>
      <c r="C283" s="541">
        <v>38384.291666666664</v>
      </c>
      <c r="D283" s="624">
        <v>16112471</v>
      </c>
      <c r="E283" s="625" t="s">
        <v>1253</v>
      </c>
      <c r="F283" s="544" t="b">
        <v>1</v>
      </c>
      <c r="H283" s="571" t="s">
        <v>418</v>
      </c>
      <c r="I283" s="626">
        <v>17842</v>
      </c>
      <c r="J283" s="627">
        <v>56.279452054794518</v>
      </c>
      <c r="K283" s="546">
        <v>675.27942143326754</v>
      </c>
      <c r="L283" s="571" t="s">
        <v>1228</v>
      </c>
      <c r="M283" s="547" t="s">
        <v>1054</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v>0</v>
      </c>
      <c r="AK283" s="552">
        <f t="shared" si="8"/>
        <v>0</v>
      </c>
      <c r="AL283" s="553"/>
      <c r="AM283" s="554">
        <v>38367</v>
      </c>
      <c r="AN283" s="549" t="s">
        <v>2138</v>
      </c>
      <c r="AO283" s="555">
        <v>38426</v>
      </c>
      <c r="AP283" s="539" t="s">
        <v>849</v>
      </c>
      <c r="AQ283" s="554">
        <v>38364</v>
      </c>
      <c r="AR283" s="549">
        <v>1</v>
      </c>
      <c r="AS283" s="549" t="s">
        <v>2142</v>
      </c>
      <c r="AT283" s="552">
        <v>0</v>
      </c>
      <c r="AU283" s="549">
        <v>1</v>
      </c>
      <c r="AV283" s="549">
        <v>0</v>
      </c>
      <c r="AW283" s="549">
        <v>0</v>
      </c>
      <c r="AX283" s="574" t="s">
        <v>1254</v>
      </c>
      <c r="AY283" s="574"/>
      <c r="AZ283" s="574" t="s">
        <v>1503</v>
      </c>
      <c r="BA283" s="544">
        <v>0</v>
      </c>
      <c r="BB283" s="558">
        <v>1</v>
      </c>
      <c r="BC283" s="558"/>
      <c r="BD283" s="558">
        <v>1</v>
      </c>
      <c r="BE283" s="558">
        <v>0</v>
      </c>
      <c r="BF283" s="559">
        <v>0</v>
      </c>
      <c r="BG283" s="771">
        <v>0</v>
      </c>
      <c r="BH283" s="771"/>
      <c r="BI283" s="573">
        <v>1</v>
      </c>
      <c r="BJ283" s="574"/>
      <c r="BK283" s="574">
        <v>1</v>
      </c>
      <c r="BL283" s="574" t="s">
        <v>2143</v>
      </c>
      <c r="BM283" s="574">
        <v>1</v>
      </c>
      <c r="BN283" s="574" t="s">
        <v>2144</v>
      </c>
      <c r="BO283" s="574">
        <v>1</v>
      </c>
      <c r="BP283" s="574">
        <v>0</v>
      </c>
      <c r="BQ283" s="574">
        <v>1</v>
      </c>
      <c r="BR283" s="574">
        <v>0</v>
      </c>
      <c r="BS283" s="562">
        <v>0</v>
      </c>
      <c r="BT283" s="573">
        <v>0</v>
      </c>
      <c r="BU283" s="574"/>
      <c r="BV283" s="574">
        <v>0</v>
      </c>
      <c r="BW283" s="574">
        <v>0</v>
      </c>
      <c r="BX283" s="574">
        <v>0</v>
      </c>
      <c r="BY283" s="574"/>
      <c r="BZ283" s="574"/>
      <c r="CA283" s="557"/>
      <c r="CB283" s="578">
        <v>0</v>
      </c>
      <c r="CC283" s="578">
        <v>0</v>
      </c>
      <c r="CD283" s="578">
        <v>0</v>
      </c>
      <c r="CE283" s="578"/>
      <c r="CF283" s="578"/>
      <c r="CG283" s="574"/>
      <c r="CH283" s="574">
        <v>0</v>
      </c>
      <c r="CI283" s="574"/>
      <c r="CJ283" s="558">
        <v>0</v>
      </c>
      <c r="CK283" s="558">
        <v>0</v>
      </c>
      <c r="CL283" s="574">
        <v>0</v>
      </c>
      <c r="CM283" s="544">
        <v>106</v>
      </c>
      <c r="CN283" s="544">
        <v>79</v>
      </c>
      <c r="CP283" s="564">
        <v>30.4</v>
      </c>
      <c r="CQ283" s="564">
        <v>31.6</v>
      </c>
      <c r="CR283" s="566">
        <v>38368</v>
      </c>
      <c r="CS283" s="566">
        <v>38407</v>
      </c>
      <c r="CT283" s="565">
        <v>23</v>
      </c>
      <c r="CU283" s="566">
        <v>38476</v>
      </c>
      <c r="CV283" s="628">
        <v>0</v>
      </c>
      <c r="CW283" s="566"/>
      <c r="CX283" s="628">
        <v>0</v>
      </c>
      <c r="CY283" s="628">
        <v>0</v>
      </c>
      <c r="CZ283" s="628">
        <v>0</v>
      </c>
      <c r="DA283" s="566"/>
      <c r="DB283" s="628">
        <v>0</v>
      </c>
      <c r="DC283" s="566"/>
      <c r="DD283" s="628">
        <v>0</v>
      </c>
      <c r="DE283" s="566"/>
      <c r="DF283" s="628">
        <v>0</v>
      </c>
      <c r="DG283" s="566"/>
      <c r="DH283" s="566"/>
      <c r="DI283" s="571"/>
      <c r="DJ283" s="574">
        <v>0</v>
      </c>
      <c r="DK283" s="572"/>
      <c r="DL283" s="558"/>
      <c r="DM283" s="558"/>
      <c r="DN283" s="571"/>
      <c r="DO283" s="571"/>
      <c r="DP283" s="571"/>
      <c r="DQ283" s="571"/>
      <c r="DR283" s="571"/>
      <c r="DS283" s="571"/>
      <c r="DT283" s="571"/>
      <c r="DU283" s="571" t="s">
        <v>1160</v>
      </c>
      <c r="DV283" s="571" t="b">
        <v>0</v>
      </c>
      <c r="DW283" s="571"/>
      <c r="DX283" s="571"/>
      <c r="DY283" s="571"/>
      <c r="DZ283" s="571"/>
      <c r="EA283" s="571"/>
      <c r="EB283" s="571"/>
      <c r="EC283" s="571"/>
      <c r="ED283" s="571"/>
      <c r="EE283" s="571"/>
      <c r="EF283" s="571"/>
      <c r="EG283" s="571" t="s">
        <v>1160</v>
      </c>
      <c r="EH283" s="571"/>
      <c r="EI283" s="571"/>
    </row>
    <row r="284" spans="1:139" s="48" customFormat="1" ht="39.75" customHeight="1">
      <c r="A284" s="60">
        <v>571</v>
      </c>
      <c r="B284" s="149">
        <v>38324</v>
      </c>
      <c r="C284" s="62">
        <v>38324.550694444442</v>
      </c>
      <c r="D284" s="150">
        <v>15905153</v>
      </c>
      <c r="E284" s="151" t="s">
        <v>1255</v>
      </c>
      <c r="F284" s="48" t="b">
        <v>0</v>
      </c>
      <c r="G284" s="48" t="s">
        <v>1487</v>
      </c>
      <c r="H284" s="143" t="s">
        <v>418</v>
      </c>
      <c r="I284" s="152">
        <v>25298</v>
      </c>
      <c r="J284" s="153">
        <v>35.68767123287671</v>
      </c>
      <c r="K284" s="85">
        <v>428.20512820512818</v>
      </c>
      <c r="L284" s="143" t="s">
        <v>500</v>
      </c>
      <c r="M284" s="495" t="s">
        <v>1256</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497"/>
      <c r="AK284" s="324">
        <f t="shared" si="8"/>
        <v>0</v>
      </c>
      <c r="AL284" s="495"/>
      <c r="AM284" s="498"/>
      <c r="AN284" s="138"/>
      <c r="AO284" s="61"/>
      <c r="AP284" s="143"/>
      <c r="AQ284" s="498"/>
      <c r="AR284" s="138"/>
      <c r="AS284" s="138"/>
      <c r="AT284" s="497"/>
      <c r="AU284" s="138"/>
      <c r="AV284" s="138"/>
      <c r="AW284" s="138"/>
      <c r="AX284" s="138" t="s">
        <v>1257</v>
      </c>
      <c r="AY284" s="138"/>
      <c r="AZ284" s="138"/>
      <c r="BB284" s="82"/>
      <c r="BC284" s="82"/>
      <c r="BD284" s="82"/>
      <c r="BE284" s="82"/>
      <c r="BF284" s="235"/>
      <c r="BG284" s="767"/>
      <c r="BH284" s="767"/>
      <c r="BI284" s="228"/>
      <c r="BJ284" s="138"/>
      <c r="BK284" s="138"/>
      <c r="BL284" s="138"/>
      <c r="BM284" s="138"/>
      <c r="BN284" s="138"/>
      <c r="BO284" s="138"/>
      <c r="BP284" s="138"/>
      <c r="BQ284" s="138"/>
      <c r="BR284" s="138"/>
      <c r="BS284" s="247"/>
      <c r="BT284" s="228" t="s">
        <v>213</v>
      </c>
      <c r="BU284" s="138"/>
      <c r="BV284" s="138"/>
      <c r="BW284" s="138"/>
      <c r="BX284" s="138"/>
      <c r="BY284" s="138"/>
      <c r="BZ284" s="138"/>
      <c r="CA284" s="138"/>
      <c r="CB284" s="138"/>
      <c r="CC284" s="138"/>
      <c r="CD284" s="138"/>
      <c r="CE284" s="138"/>
      <c r="CF284" s="138"/>
      <c r="CG284" s="138"/>
      <c r="CH284" s="138"/>
      <c r="CI284" s="138"/>
      <c r="CJ284" s="82">
        <v>0</v>
      </c>
      <c r="CK284" s="82">
        <v>0</v>
      </c>
      <c r="CL284" s="138" t="s">
        <v>714</v>
      </c>
      <c r="CM284" s="48">
        <v>227</v>
      </c>
      <c r="CN284" s="48">
        <v>174</v>
      </c>
      <c r="CP284" s="505">
        <v>28.1</v>
      </c>
      <c r="CQ284" s="505">
        <v>29</v>
      </c>
      <c r="CR284" s="84">
        <v>38316</v>
      </c>
      <c r="CS284" s="84">
        <v>38352</v>
      </c>
      <c r="CT284" s="83">
        <v>28</v>
      </c>
      <c r="CU284" s="84"/>
      <c r="CV284" s="154"/>
      <c r="CW284" s="84"/>
      <c r="CX284" s="154"/>
      <c r="CY284" s="154"/>
      <c r="CZ284" s="154"/>
      <c r="DA284" s="84"/>
      <c r="DB284" s="154"/>
      <c r="DC284" s="84"/>
      <c r="DD284" s="154"/>
      <c r="DE284" s="84"/>
      <c r="DF284" s="154"/>
      <c r="DG284" s="84"/>
      <c r="DH284" s="84"/>
      <c r="DI284" s="143"/>
      <c r="DJ284" s="138">
        <v>0</v>
      </c>
      <c r="DK284" s="155"/>
      <c r="DL284" s="82"/>
      <c r="DM284" s="82"/>
      <c r="DN284" s="143"/>
      <c r="DO284" s="143"/>
      <c r="DP284" s="143"/>
      <c r="DQ284" s="143"/>
      <c r="DR284" s="143"/>
      <c r="DS284" s="143"/>
      <c r="DT284" s="143"/>
      <c r="DU284" s="143" t="s">
        <v>1160</v>
      </c>
      <c r="DV284" s="143" t="b">
        <v>0</v>
      </c>
      <c r="DW284" s="143"/>
      <c r="DX284" s="143"/>
      <c r="DY284" s="143"/>
      <c r="DZ284" s="143"/>
      <c r="EA284" s="143"/>
      <c r="EB284" s="143"/>
      <c r="EC284" s="143"/>
      <c r="ED284" s="143"/>
      <c r="EE284" s="143"/>
      <c r="EF284" s="143"/>
      <c r="EG284" s="143"/>
      <c r="EH284" s="143"/>
      <c r="EI284" s="143"/>
    </row>
    <row r="285" spans="1:139" s="48" customFormat="1" ht="39.75" customHeight="1">
      <c r="A285" s="60">
        <v>572</v>
      </c>
      <c r="B285" s="149">
        <v>38303</v>
      </c>
      <c r="C285" s="62">
        <v>38303.28125</v>
      </c>
      <c r="D285" s="150">
        <v>14573975</v>
      </c>
      <c r="E285" s="151" t="s">
        <v>1258</v>
      </c>
      <c r="F285" s="48" t="b">
        <v>0</v>
      </c>
      <c r="G285" s="48" t="s">
        <v>1558</v>
      </c>
      <c r="H285" s="143" t="s">
        <v>441</v>
      </c>
      <c r="I285" s="152">
        <v>27373</v>
      </c>
      <c r="J285" s="153">
        <v>29.945205479452056</v>
      </c>
      <c r="K285" s="85">
        <v>359.3030900723208</v>
      </c>
      <c r="L285" s="143" t="s">
        <v>493</v>
      </c>
      <c r="M285" s="495" t="s">
        <v>1259</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c r="AK285" s="324">
        <f t="shared" si="8"/>
        <v>0</v>
      </c>
      <c r="AL285" s="187"/>
      <c r="AM285" s="191"/>
      <c r="AN285" s="51"/>
      <c r="AO285" s="61"/>
      <c r="AP285" s="60"/>
      <c r="AQ285" s="191"/>
      <c r="AR285" s="51"/>
      <c r="AS285" s="51"/>
      <c r="AT285" s="324"/>
      <c r="AU285" s="51"/>
      <c r="AV285" s="51"/>
      <c r="AW285" s="51"/>
      <c r="AX285" s="138" t="s">
        <v>1260</v>
      </c>
      <c r="AY285" s="138"/>
      <c r="AZ285" s="138">
        <v>1</v>
      </c>
      <c r="BB285" s="82"/>
      <c r="BC285" s="82" t="e">
        <v>#REF!</v>
      </c>
      <c r="BD285" s="82"/>
      <c r="BE285" s="82"/>
      <c r="BF285" s="235"/>
      <c r="BG285" s="767"/>
      <c r="BH285" s="767"/>
      <c r="BI285" s="228">
        <v>1</v>
      </c>
      <c r="BJ285" s="138"/>
      <c r="BK285" s="138"/>
      <c r="BL285" s="138"/>
      <c r="BM285" s="138"/>
      <c r="BN285" s="138"/>
      <c r="BO285" s="138"/>
      <c r="BP285" s="138"/>
      <c r="BQ285" s="138"/>
      <c r="BR285" s="138"/>
      <c r="BS285" s="248" t="s">
        <v>196</v>
      </c>
      <c r="BT285" s="228"/>
      <c r="BU285" s="138"/>
      <c r="BV285" s="138"/>
      <c r="BW285" s="138"/>
      <c r="BX285" s="138"/>
      <c r="BY285" s="138"/>
      <c r="BZ285" s="138"/>
      <c r="CA285" s="71" t="e">
        <v>#REF!</v>
      </c>
      <c r="CB285" s="144"/>
      <c r="CC285" s="144"/>
      <c r="CD285" s="144"/>
      <c r="CE285" s="144"/>
      <c r="CF285" s="144"/>
      <c r="CG285" s="138"/>
      <c r="CH285" s="138" t="s">
        <v>155</v>
      </c>
      <c r="CI285" s="138"/>
      <c r="CJ285" s="82">
        <v>0</v>
      </c>
      <c r="CK285" s="82">
        <v>0</v>
      </c>
      <c r="CL285" s="138"/>
      <c r="CP285" s="505"/>
      <c r="CQ285" s="505"/>
      <c r="CR285" s="84">
        <v>38301</v>
      </c>
      <c r="CS285" s="84">
        <v>38311</v>
      </c>
      <c r="CT285" s="83">
        <v>8</v>
      </c>
      <c r="CU285" s="84"/>
      <c r="CV285" s="154"/>
      <c r="CW285" s="84"/>
      <c r="CX285" s="154"/>
      <c r="CY285" s="154"/>
      <c r="CZ285" s="154"/>
      <c r="DA285" s="84"/>
      <c r="DB285" s="154"/>
      <c r="DC285" s="84"/>
      <c r="DD285" s="154"/>
      <c r="DE285" s="84"/>
      <c r="DF285" s="154"/>
      <c r="DG285" s="84"/>
      <c r="DH285" s="87" t="s">
        <v>220</v>
      </c>
      <c r="DI285" s="143"/>
      <c r="DJ285" s="138">
        <v>0</v>
      </c>
      <c r="DK285" s="155"/>
      <c r="DL285" s="82"/>
      <c r="DM285" s="82"/>
      <c r="DN285" s="143"/>
      <c r="DO285" s="143"/>
      <c r="DP285" s="143"/>
      <c r="DQ285" s="143"/>
      <c r="DR285" s="143"/>
      <c r="DS285" s="143"/>
      <c r="DT285" s="143"/>
      <c r="DU285" s="143"/>
      <c r="DV285" s="143" t="b">
        <v>0</v>
      </c>
      <c r="DW285" s="143"/>
      <c r="DX285" s="143"/>
      <c r="DY285" s="143"/>
      <c r="DZ285" s="143"/>
      <c r="EA285" s="143"/>
      <c r="EB285" s="143"/>
      <c r="EC285" s="143"/>
      <c r="ED285" s="143"/>
      <c r="EE285" s="143"/>
      <c r="EF285" s="143"/>
      <c r="EG285" s="143" t="s">
        <v>1160</v>
      </c>
      <c r="EH285" s="143"/>
      <c r="EI285" s="143"/>
    </row>
    <row r="286" spans="1:139" s="544" customFormat="1" ht="39.75" customHeight="1">
      <c r="A286" s="539">
        <v>576</v>
      </c>
      <c r="B286" s="623">
        <v>38232</v>
      </c>
      <c r="C286" s="541">
        <v>38232.770833333336</v>
      </c>
      <c r="D286" s="624">
        <v>15535121</v>
      </c>
      <c r="E286" s="625" t="s">
        <v>1261</v>
      </c>
      <c r="F286" s="544" t="b">
        <v>1</v>
      </c>
      <c r="H286" s="571" t="s">
        <v>418</v>
      </c>
      <c r="I286" s="626">
        <v>22647</v>
      </c>
      <c r="J286" s="627">
        <v>42.698630136986303</v>
      </c>
      <c r="K286" s="546">
        <v>512.32741617356999</v>
      </c>
      <c r="L286" s="571" t="s">
        <v>493</v>
      </c>
      <c r="M286" s="547" t="s">
        <v>1262</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77">
        <v>0</v>
      </c>
      <c r="AK286" s="552">
        <f t="shared" si="8"/>
        <v>0</v>
      </c>
      <c r="AL286" s="547"/>
      <c r="AM286" s="575">
        <v>38232</v>
      </c>
      <c r="AN286" s="574" t="s">
        <v>2145</v>
      </c>
      <c r="AO286" s="555"/>
      <c r="AP286" s="571" t="s">
        <v>1587</v>
      </c>
      <c r="AQ286" s="575"/>
      <c r="AR286" s="574">
        <v>1</v>
      </c>
      <c r="AS286" s="574" t="s">
        <v>1518</v>
      </c>
      <c r="AT286" s="577">
        <v>0</v>
      </c>
      <c r="AU286" s="574">
        <v>1</v>
      </c>
      <c r="AV286" s="574">
        <v>0</v>
      </c>
      <c r="AW286" s="574">
        <v>1</v>
      </c>
      <c r="AX286" s="574" t="s">
        <v>1263</v>
      </c>
      <c r="AY286" s="574" t="s">
        <v>1503</v>
      </c>
      <c r="AZ286" s="574" t="s">
        <v>1507</v>
      </c>
      <c r="BA286" s="544">
        <v>0</v>
      </c>
      <c r="BB286" s="558">
        <v>1</v>
      </c>
      <c r="BC286" s="558"/>
      <c r="BD286" s="558">
        <v>0</v>
      </c>
      <c r="BE286" s="558">
        <v>1</v>
      </c>
      <c r="BF286" s="559">
        <v>0</v>
      </c>
      <c r="BG286" s="771">
        <v>1</v>
      </c>
      <c r="BH286" s="771" t="s">
        <v>2004</v>
      </c>
      <c r="BI286" s="573">
        <v>0</v>
      </c>
      <c r="BJ286" s="574"/>
      <c r="BK286" s="574">
        <v>0</v>
      </c>
      <c r="BL286" s="574"/>
      <c r="BM286" s="574">
        <v>0</v>
      </c>
      <c r="BN286" s="574"/>
      <c r="BO286" s="574">
        <v>0</v>
      </c>
      <c r="BP286" s="574">
        <v>0</v>
      </c>
      <c r="BQ286" s="574">
        <v>0</v>
      </c>
      <c r="BR286" s="574">
        <v>0</v>
      </c>
      <c r="BS286" s="562">
        <v>0</v>
      </c>
      <c r="BT286" s="573">
        <v>1</v>
      </c>
      <c r="BU286" s="574" t="s">
        <v>2146</v>
      </c>
      <c r="BV286" s="574">
        <v>0</v>
      </c>
      <c r="BW286" s="574">
        <v>0</v>
      </c>
      <c r="BX286" s="574">
        <v>0</v>
      </c>
      <c r="BY286" s="574"/>
      <c r="BZ286" s="574"/>
      <c r="CA286" s="574"/>
      <c r="CB286" s="574">
        <v>0</v>
      </c>
      <c r="CC286" s="574">
        <v>0</v>
      </c>
      <c r="CD286" s="574">
        <v>0</v>
      </c>
      <c r="CE286" s="574"/>
      <c r="CF286" s="574" t="s">
        <v>1494</v>
      </c>
      <c r="CG286" s="574"/>
      <c r="CH286" s="574">
        <v>1</v>
      </c>
      <c r="CI286" s="574" t="s">
        <v>2197</v>
      </c>
      <c r="CJ286" s="558">
        <v>0</v>
      </c>
      <c r="CK286" s="558">
        <v>0</v>
      </c>
      <c r="CL286" s="574">
        <v>0</v>
      </c>
      <c r="CM286" s="544">
        <v>192</v>
      </c>
      <c r="CN286" s="544">
        <v>157</v>
      </c>
      <c r="CP286" s="564">
        <v>26.8</v>
      </c>
      <c r="CQ286" s="564">
        <v>28.2</v>
      </c>
      <c r="CR286" s="566">
        <v>38230</v>
      </c>
      <c r="CS286" s="566">
        <v>38281</v>
      </c>
      <c r="CT286" s="565">
        <v>49</v>
      </c>
      <c r="CU286" s="566">
        <v>38281</v>
      </c>
      <c r="CV286" s="628">
        <v>0</v>
      </c>
      <c r="CW286" s="566"/>
      <c r="CX286" s="628">
        <v>0</v>
      </c>
      <c r="CY286" s="628">
        <v>0</v>
      </c>
      <c r="CZ286" s="628">
        <v>0</v>
      </c>
      <c r="DA286" s="566"/>
      <c r="DB286" s="628">
        <v>0</v>
      </c>
      <c r="DC286" s="566"/>
      <c r="DD286" s="628">
        <v>0</v>
      </c>
      <c r="DE286" s="566"/>
      <c r="DF286" s="628">
        <v>0</v>
      </c>
      <c r="DG286" s="566"/>
      <c r="DH286" s="566"/>
      <c r="DI286" s="571" t="s">
        <v>1264</v>
      </c>
      <c r="DJ286" s="558">
        <v>1</v>
      </c>
      <c r="DK286" s="572">
        <v>1.9066403681788295</v>
      </c>
      <c r="DL286" s="558"/>
      <c r="DM286" s="558" t="b">
        <v>1</v>
      </c>
      <c r="DN286" s="566">
        <v>38290</v>
      </c>
      <c r="DO286" s="571" t="s">
        <v>1265</v>
      </c>
      <c r="DP286" s="647" t="s">
        <v>1266</v>
      </c>
      <c r="DQ286" s="557" t="s">
        <v>1267</v>
      </c>
      <c r="DR286" s="571" t="s">
        <v>1188</v>
      </c>
      <c r="DS286" s="571"/>
      <c r="DT286" s="571"/>
      <c r="DU286" s="571" t="s">
        <v>1160</v>
      </c>
      <c r="DV286" s="571" t="b">
        <v>0</v>
      </c>
      <c r="DW286" s="566">
        <v>38236</v>
      </c>
      <c r="DX286" s="571" t="s">
        <v>1268</v>
      </c>
      <c r="DY286" s="571"/>
      <c r="DZ286" s="571"/>
      <c r="EA286" s="571"/>
      <c r="EB286" s="571"/>
      <c r="EC286" s="571"/>
      <c r="ED286" s="571"/>
      <c r="EE286" s="571"/>
      <c r="EF286" s="571"/>
      <c r="EG286" s="571" t="s">
        <v>1160</v>
      </c>
      <c r="EH286" s="571" t="s">
        <v>1269</v>
      </c>
      <c r="EI286" s="571"/>
    </row>
    <row r="287" spans="1:139" s="48" customFormat="1" ht="39.75" customHeight="1">
      <c r="A287" s="60">
        <v>578</v>
      </c>
      <c r="B287" s="149">
        <v>38204</v>
      </c>
      <c r="C287" s="62">
        <v>38204.286805555559</v>
      </c>
      <c r="D287" s="150">
        <v>15214985</v>
      </c>
      <c r="E287" s="151" t="s">
        <v>1270</v>
      </c>
      <c r="F287" s="48" t="b">
        <v>0</v>
      </c>
      <c r="G287" s="48" t="s">
        <v>1558</v>
      </c>
      <c r="H287" s="143" t="s">
        <v>418</v>
      </c>
      <c r="I287" s="152">
        <v>20830</v>
      </c>
      <c r="J287" s="153">
        <v>47.6</v>
      </c>
      <c r="K287" s="85">
        <v>571.13740959894801</v>
      </c>
      <c r="L287" s="143" t="s">
        <v>493</v>
      </c>
      <c r="M287" s="495" t="s">
        <v>1271</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c r="AK287" s="324">
        <f t="shared" si="8"/>
        <v>0</v>
      </c>
      <c r="AL287" s="187"/>
      <c r="AM287" s="191"/>
      <c r="AN287" s="51"/>
      <c r="AO287" s="61"/>
      <c r="AP287" s="60"/>
      <c r="AQ287" s="191"/>
      <c r="AR287" s="51"/>
      <c r="AS287" s="51"/>
      <c r="AT287" s="324"/>
      <c r="AU287" s="51"/>
      <c r="AV287" s="51"/>
      <c r="AW287" s="51"/>
      <c r="AX287" s="138" t="s">
        <v>1272</v>
      </c>
      <c r="AY287" s="138"/>
      <c r="AZ287" s="138">
        <v>1</v>
      </c>
      <c r="BB287" s="82"/>
      <c r="BC287" s="82" t="e">
        <v>#REF!</v>
      </c>
      <c r="BD287" s="82"/>
      <c r="BE287" s="82"/>
      <c r="BF287" s="235"/>
      <c r="BG287" s="767"/>
      <c r="BH287" s="767"/>
      <c r="BI287" s="228">
        <v>1</v>
      </c>
      <c r="BJ287" s="138"/>
      <c r="BK287" s="138"/>
      <c r="BL287" s="138"/>
      <c r="BM287" s="138"/>
      <c r="BN287" s="138"/>
      <c r="BO287" s="138"/>
      <c r="BP287" s="138"/>
      <c r="BQ287" s="138"/>
      <c r="BR287" s="138"/>
      <c r="BS287" s="247" t="s">
        <v>261</v>
      </c>
      <c r="BT287" s="228"/>
      <c r="BU287" s="138"/>
      <c r="BV287" s="138"/>
      <c r="BW287" s="138"/>
      <c r="BX287" s="138"/>
      <c r="BY287" s="138"/>
      <c r="BZ287" s="138"/>
      <c r="CA287" s="71" t="e">
        <v>#REF!</v>
      </c>
      <c r="CB287" s="144"/>
      <c r="CC287" s="144"/>
      <c r="CD287" s="144"/>
      <c r="CE287" s="144"/>
      <c r="CF287" s="144"/>
      <c r="CG287" s="138"/>
      <c r="CH287" s="138"/>
      <c r="CI287" s="138"/>
      <c r="CJ287" s="82">
        <v>0</v>
      </c>
      <c r="CK287" s="82">
        <v>0</v>
      </c>
      <c r="CL287" s="138"/>
      <c r="CP287" s="505"/>
      <c r="CQ287" s="505"/>
      <c r="CR287" s="84">
        <v>38202</v>
      </c>
      <c r="CS287" s="84">
        <v>38211</v>
      </c>
      <c r="CT287" s="83">
        <v>7</v>
      </c>
      <c r="CU287" s="84"/>
      <c r="CV287" s="154"/>
      <c r="CW287" s="84"/>
      <c r="CX287" s="154"/>
      <c r="CY287" s="154"/>
      <c r="CZ287" s="154"/>
      <c r="DA287" s="84"/>
      <c r="DB287" s="154"/>
      <c r="DC287" s="84"/>
      <c r="DD287" s="154"/>
      <c r="DE287" s="84"/>
      <c r="DF287" s="154"/>
      <c r="DG287" s="84"/>
      <c r="DH287" s="87" t="s">
        <v>220</v>
      </c>
      <c r="DI287" s="143"/>
      <c r="DJ287" s="138">
        <v>0</v>
      </c>
      <c r="DK287" s="155"/>
      <c r="DL287" s="82"/>
      <c r="DM287" s="82"/>
      <c r="DN287" s="143"/>
      <c r="DO287" s="143"/>
      <c r="DP287" s="143"/>
      <c r="DQ287" s="143"/>
      <c r="DR287" s="143"/>
      <c r="DS287" s="143"/>
      <c r="DT287" s="143"/>
      <c r="DU287" s="143" t="s">
        <v>1160</v>
      </c>
      <c r="DV287" s="143" t="b">
        <v>0</v>
      </c>
      <c r="DW287" s="143"/>
      <c r="DX287" s="143"/>
      <c r="DY287" s="143"/>
      <c r="DZ287" s="143"/>
      <c r="EA287" s="143"/>
      <c r="EB287" s="143"/>
      <c r="EC287" s="143"/>
      <c r="ED287" s="143"/>
      <c r="EE287" s="143"/>
      <c r="EF287" s="143"/>
      <c r="EG287" s="143" t="s">
        <v>1160</v>
      </c>
      <c r="EH287" s="143"/>
      <c r="EI287" s="143"/>
    </row>
    <row r="288" spans="1:139" s="196" customFormat="1" ht="39.75" customHeight="1">
      <c r="A288" s="90">
        <v>580</v>
      </c>
      <c r="B288" s="629">
        <v>38156</v>
      </c>
      <c r="C288" s="194">
        <v>38156.291666666664</v>
      </c>
      <c r="D288" s="630">
        <v>5824068</v>
      </c>
      <c r="E288" s="631" t="s">
        <v>1273</v>
      </c>
      <c r="F288" s="196" t="s">
        <v>1590</v>
      </c>
      <c r="G288" s="196" t="s">
        <v>1730</v>
      </c>
      <c r="H288" s="516" t="s">
        <v>418</v>
      </c>
      <c r="I288" s="632">
        <v>27610</v>
      </c>
      <c r="J288" s="633">
        <v>28.893150684931506</v>
      </c>
      <c r="K288" s="197">
        <v>346.67981591058515</v>
      </c>
      <c r="L288" s="516" t="s">
        <v>493</v>
      </c>
      <c r="M288" s="648" t="s">
        <v>1274</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650"/>
      <c r="AK288" s="326">
        <f t="shared" si="8"/>
        <v>0</v>
      </c>
      <c r="AL288" s="651"/>
      <c r="AM288" s="652"/>
      <c r="AN288" s="203"/>
      <c r="AO288" s="88"/>
      <c r="AP288" s="203"/>
      <c r="AQ288" s="652"/>
      <c r="AR288" s="203"/>
      <c r="AS288" s="203"/>
      <c r="AT288" s="650"/>
      <c r="AU288" s="203"/>
      <c r="AV288" s="203"/>
      <c r="AW288" s="203"/>
      <c r="AX288" s="510" t="s">
        <v>1275</v>
      </c>
      <c r="AY288" s="203"/>
      <c r="AZ288" s="203"/>
      <c r="BB288" s="203"/>
      <c r="BC288" s="203"/>
      <c r="BD288" s="203"/>
      <c r="BE288" s="203"/>
      <c r="BF288" s="236"/>
      <c r="BG288" s="768"/>
      <c r="BH288" s="768"/>
      <c r="BI288" s="653"/>
      <c r="BJ288" s="203"/>
      <c r="BK288" s="203"/>
      <c r="BL288" s="203"/>
      <c r="BM288" s="203"/>
      <c r="BN288" s="203"/>
      <c r="BO288" s="203"/>
      <c r="BP288" s="203"/>
      <c r="BQ288" s="203"/>
      <c r="BR288" s="203"/>
      <c r="BS288" s="236"/>
      <c r="BT288" s="591" t="s">
        <v>174</v>
      </c>
      <c r="BU288" s="510"/>
      <c r="BV288" s="510"/>
      <c r="BW288" s="510"/>
      <c r="BX288" s="203"/>
      <c r="BY288" s="203"/>
      <c r="BZ288" s="203"/>
      <c r="CA288" s="203"/>
      <c r="CB288" s="203"/>
      <c r="CC288" s="203"/>
      <c r="CD288" s="203"/>
      <c r="CE288" s="203"/>
      <c r="CF288" s="203"/>
      <c r="CG288" s="203"/>
      <c r="CH288" s="203"/>
      <c r="CI288" s="203"/>
      <c r="CJ288" s="203">
        <v>0</v>
      </c>
      <c r="CK288" s="203">
        <v>0</v>
      </c>
      <c r="CL288" s="203"/>
      <c r="CP288" s="506"/>
      <c r="CQ288" s="506"/>
      <c r="CR288" s="206">
        <v>38133</v>
      </c>
      <c r="CS288" s="206">
        <v>38174</v>
      </c>
      <c r="CT288" s="205">
        <v>18</v>
      </c>
      <c r="CU288" s="206"/>
      <c r="CV288" s="639"/>
      <c r="CW288" s="206"/>
      <c r="CX288" s="639"/>
      <c r="CY288" s="639"/>
      <c r="CZ288" s="639"/>
      <c r="DA288" s="206"/>
      <c r="DB288" s="639"/>
      <c r="DC288" s="206"/>
      <c r="DD288" s="639"/>
      <c r="DE288" s="206"/>
      <c r="DF288" s="639"/>
      <c r="DG288" s="206"/>
      <c r="DH288" s="206"/>
      <c r="DI288" s="516"/>
      <c r="DJ288" s="510">
        <v>0</v>
      </c>
      <c r="DK288" s="640"/>
      <c r="DL288" s="203"/>
      <c r="DM288" s="203"/>
      <c r="DN288" s="516"/>
      <c r="DO288" s="516"/>
      <c r="DP288" s="516"/>
      <c r="DQ288" s="516"/>
      <c r="DR288" s="516"/>
      <c r="DS288" s="516"/>
      <c r="DT288" s="516"/>
      <c r="DU288" s="516"/>
      <c r="DV288" s="516" t="s">
        <v>1095</v>
      </c>
      <c r="DW288" s="516"/>
      <c r="DX288" s="516"/>
      <c r="DY288" s="516"/>
      <c r="DZ288" s="516"/>
      <c r="EA288" s="516"/>
      <c r="EB288" s="516"/>
      <c r="EC288" s="516"/>
      <c r="ED288" s="516"/>
      <c r="EE288" s="516"/>
      <c r="EF288" s="516"/>
      <c r="EG288" s="516" t="s">
        <v>1160</v>
      </c>
      <c r="EH288" s="516"/>
      <c r="EI288" s="516"/>
    </row>
    <row r="289" spans="1:139" s="48" customFormat="1" ht="39.75" customHeight="1">
      <c r="A289" s="60">
        <v>584</v>
      </c>
      <c r="B289" s="149">
        <v>38040</v>
      </c>
      <c r="C289" s="62">
        <v>38040.291666666664</v>
      </c>
      <c r="D289" s="150">
        <v>13649949</v>
      </c>
      <c r="E289" s="151" t="s">
        <v>1276</v>
      </c>
      <c r="F289" s="48" t="b">
        <v>0</v>
      </c>
      <c r="G289" s="48" t="s">
        <v>1558</v>
      </c>
      <c r="H289" s="143" t="s">
        <v>441</v>
      </c>
      <c r="I289" s="152">
        <v>19356</v>
      </c>
      <c r="J289" s="153">
        <v>51.18904109589041</v>
      </c>
      <c r="K289" s="85">
        <v>614.20118343195259</v>
      </c>
      <c r="L289" s="143" t="s">
        <v>493</v>
      </c>
      <c r="M289" s="654" t="s">
        <v>1277</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c r="AK289" s="324">
        <f t="shared" si="8"/>
        <v>0</v>
      </c>
      <c r="AL289" s="187"/>
      <c r="AM289" s="191"/>
      <c r="AN289" s="51"/>
      <c r="AO289" s="61"/>
      <c r="AP289" s="60"/>
      <c r="AQ289" s="191"/>
      <c r="AR289" s="51"/>
      <c r="AS289" s="51"/>
      <c r="AT289" s="324"/>
      <c r="AU289" s="51"/>
      <c r="AV289" s="51"/>
      <c r="AW289" s="51"/>
      <c r="AX289" s="138" t="s">
        <v>1278</v>
      </c>
      <c r="AY289" s="82"/>
      <c r="AZ289" s="82">
        <v>1</v>
      </c>
      <c r="BB289" s="82"/>
      <c r="BC289" s="82" t="e">
        <v>#REF!</v>
      </c>
      <c r="BD289" s="82"/>
      <c r="BE289" s="82"/>
      <c r="BF289" s="235"/>
      <c r="BG289" s="767"/>
      <c r="BH289" s="767"/>
      <c r="BI289" s="229">
        <v>1</v>
      </c>
      <c r="BJ289" s="82"/>
      <c r="BK289" s="82"/>
      <c r="BL289" s="82"/>
      <c r="BM289" s="82"/>
      <c r="BN289" s="82"/>
      <c r="BO289" s="82"/>
      <c r="BP289" s="82"/>
      <c r="BQ289" s="82"/>
      <c r="BR289" s="82"/>
      <c r="BS289" s="235">
        <v>0</v>
      </c>
      <c r="BT289" s="229"/>
      <c r="BU289" s="82"/>
      <c r="BV289" s="82"/>
      <c r="BW289" s="82"/>
      <c r="BX289" s="82"/>
      <c r="BY289" s="82"/>
      <c r="BZ289" s="82"/>
      <c r="CA289" s="71" t="e">
        <v>#REF!</v>
      </c>
      <c r="CB289" s="157"/>
      <c r="CC289" s="157"/>
      <c r="CD289" s="157"/>
      <c r="CE289" s="157"/>
      <c r="CF289" s="157"/>
      <c r="CG289" s="82"/>
      <c r="CH289" s="82"/>
      <c r="CI289" s="82"/>
      <c r="CJ289" s="82">
        <v>0</v>
      </c>
      <c r="CK289" s="82">
        <v>0</v>
      </c>
      <c r="CL289" s="82"/>
      <c r="CM289" s="48">
        <v>131</v>
      </c>
      <c r="CN289" s="48">
        <v>107</v>
      </c>
      <c r="CP289" s="505">
        <v>27.8</v>
      </c>
      <c r="CQ289" s="505">
        <v>28.7</v>
      </c>
      <c r="CR289" s="84">
        <v>37998</v>
      </c>
      <c r="CS289" s="84">
        <v>38049</v>
      </c>
      <c r="CT289" s="83">
        <v>9</v>
      </c>
      <c r="CU289" s="84"/>
      <c r="CV289" s="154"/>
      <c r="CW289" s="84"/>
      <c r="CX289" s="154"/>
      <c r="CY289" s="154"/>
      <c r="CZ289" s="154"/>
      <c r="DA289" s="84"/>
      <c r="DB289" s="154"/>
      <c r="DC289" s="84"/>
      <c r="DD289" s="154"/>
      <c r="DE289" s="84"/>
      <c r="DF289" s="154"/>
      <c r="DG289" s="84"/>
      <c r="DH289" s="87" t="s">
        <v>220</v>
      </c>
      <c r="DI289" s="143"/>
      <c r="DJ289" s="138">
        <v>0</v>
      </c>
      <c r="DK289" s="155"/>
      <c r="DL289" s="82"/>
      <c r="DM289" s="82"/>
      <c r="DN289" s="143"/>
      <c r="DO289" s="143"/>
      <c r="DP289" s="143"/>
      <c r="DQ289" s="143"/>
      <c r="DR289" s="143"/>
      <c r="DS289" s="143"/>
      <c r="DT289" s="143"/>
      <c r="DU289" s="143"/>
      <c r="DV289" s="143" t="b">
        <v>0</v>
      </c>
      <c r="DW289" s="143"/>
      <c r="DX289" s="143"/>
      <c r="DY289" s="143"/>
      <c r="DZ289" s="143"/>
      <c r="EA289" s="143"/>
      <c r="EB289" s="143"/>
      <c r="EC289" s="143"/>
      <c r="ED289" s="143"/>
      <c r="EE289" s="143"/>
      <c r="EF289" s="143"/>
      <c r="EG289" s="143" t="s">
        <v>1160</v>
      </c>
      <c r="EH289" s="143"/>
      <c r="EI289" s="143"/>
    </row>
    <row r="290" spans="1:139" s="544" customFormat="1" ht="39.75" customHeight="1">
      <c r="A290" s="539">
        <v>588</v>
      </c>
      <c r="B290" s="623">
        <v>37986</v>
      </c>
      <c r="C290" s="541">
        <v>37986.293055555558</v>
      </c>
      <c r="D290" s="624">
        <v>14225247</v>
      </c>
      <c r="E290" s="625" t="s">
        <v>1279</v>
      </c>
      <c r="F290" s="544" t="b">
        <v>1</v>
      </c>
      <c r="H290" s="571" t="s">
        <v>418</v>
      </c>
      <c r="I290" s="626">
        <v>14139</v>
      </c>
      <c r="J290" s="627">
        <v>65.334246575342462</v>
      </c>
      <c r="K290" s="546">
        <v>783.9250493096647</v>
      </c>
      <c r="L290" s="571" t="s">
        <v>1228</v>
      </c>
      <c r="M290" s="655" t="s">
        <v>1280</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v>0</v>
      </c>
      <c r="AK290" s="552">
        <f t="shared" si="8"/>
        <v>0</v>
      </c>
      <c r="AL290" s="553"/>
      <c r="AM290" s="554">
        <v>37957</v>
      </c>
      <c r="AN290" s="549" t="s">
        <v>2147</v>
      </c>
      <c r="AO290" s="555">
        <v>37995</v>
      </c>
      <c r="AP290" s="539" t="s">
        <v>1024</v>
      </c>
      <c r="AQ290" s="554">
        <v>37957</v>
      </c>
      <c r="AR290" s="549">
        <v>0</v>
      </c>
      <c r="AS290" s="549"/>
      <c r="AT290" s="552">
        <v>0</v>
      </c>
      <c r="AU290" s="549">
        <v>1</v>
      </c>
      <c r="AV290" s="549">
        <v>1</v>
      </c>
      <c r="AW290" s="549">
        <v>1</v>
      </c>
      <c r="AX290" s="557" t="s">
        <v>1283</v>
      </c>
      <c r="AY290" s="557"/>
      <c r="AZ290" s="557" t="s">
        <v>1503</v>
      </c>
      <c r="BA290" s="544">
        <v>0</v>
      </c>
      <c r="BB290" s="558">
        <v>1</v>
      </c>
      <c r="BC290" s="558"/>
      <c r="BD290" s="558">
        <v>0</v>
      </c>
      <c r="BE290" s="558">
        <v>0</v>
      </c>
      <c r="BF290" s="559">
        <v>1</v>
      </c>
      <c r="BG290" s="771">
        <v>0</v>
      </c>
      <c r="BH290" s="771"/>
      <c r="BI290" s="657">
        <v>1</v>
      </c>
      <c r="BJ290" s="557"/>
      <c r="BK290" s="544">
        <v>1</v>
      </c>
      <c r="BL290" s="557" t="s">
        <v>1281</v>
      </c>
      <c r="BM290" s="544">
        <v>1</v>
      </c>
      <c r="BN290" s="557" t="s">
        <v>1282</v>
      </c>
      <c r="BO290" s="557">
        <v>1</v>
      </c>
      <c r="BP290" s="557">
        <v>0</v>
      </c>
      <c r="BQ290" s="557">
        <v>0</v>
      </c>
      <c r="BR290" s="557">
        <v>0</v>
      </c>
      <c r="BS290" s="658">
        <v>0</v>
      </c>
      <c r="BT290" s="657">
        <v>0</v>
      </c>
      <c r="BU290" s="557"/>
      <c r="BV290" s="557">
        <v>0</v>
      </c>
      <c r="BW290" s="557">
        <v>0</v>
      </c>
      <c r="BX290" s="557">
        <v>0</v>
      </c>
      <c r="BY290" s="557"/>
      <c r="BZ290" s="557"/>
      <c r="CA290" s="557"/>
      <c r="CB290" s="563">
        <v>0</v>
      </c>
      <c r="CC290" s="563">
        <v>0</v>
      </c>
      <c r="CD290" s="563">
        <v>0</v>
      </c>
      <c r="CE290" s="563"/>
      <c r="CF290" s="563"/>
      <c r="CG290" s="557"/>
      <c r="CH290" s="557">
        <v>0</v>
      </c>
      <c r="CI290" s="557"/>
      <c r="CJ290" s="558">
        <v>0</v>
      </c>
      <c r="CK290" s="558">
        <v>0</v>
      </c>
      <c r="CL290" s="557">
        <v>0</v>
      </c>
      <c r="CM290" s="544">
        <v>113</v>
      </c>
      <c r="CN290" s="544">
        <v>71</v>
      </c>
      <c r="CP290" s="564">
        <v>29.5</v>
      </c>
      <c r="CQ290" s="564">
        <v>31</v>
      </c>
      <c r="CR290" s="566">
        <v>37959</v>
      </c>
      <c r="CS290" s="566">
        <v>37997</v>
      </c>
      <c r="CT290" s="565">
        <v>11</v>
      </c>
      <c r="CU290" s="566">
        <v>43733</v>
      </c>
      <c r="CV290" s="628">
        <v>0</v>
      </c>
      <c r="CW290" s="566"/>
      <c r="CX290" s="628">
        <v>0</v>
      </c>
      <c r="CY290" s="628">
        <v>0</v>
      </c>
      <c r="CZ290" s="628">
        <v>0</v>
      </c>
      <c r="DA290" s="566"/>
      <c r="DB290" s="628">
        <v>0</v>
      </c>
      <c r="DC290" s="566"/>
      <c r="DD290" s="628">
        <v>0</v>
      </c>
      <c r="DE290" s="566"/>
      <c r="DF290" s="628">
        <v>0</v>
      </c>
      <c r="DG290" s="566"/>
      <c r="DH290" s="566"/>
      <c r="DI290" s="571"/>
      <c r="DJ290" s="574">
        <v>0</v>
      </c>
      <c r="DK290" s="572"/>
      <c r="DL290" s="558"/>
      <c r="DM290" s="558"/>
      <c r="DN290" s="571"/>
      <c r="DO290" s="571"/>
      <c r="DP290" s="571"/>
      <c r="DQ290" s="571"/>
      <c r="DR290" s="571"/>
      <c r="DS290" s="571"/>
      <c r="DT290" s="571"/>
      <c r="DU290" s="571" t="s">
        <v>1160</v>
      </c>
      <c r="DV290" s="571" t="b">
        <v>0</v>
      </c>
      <c r="DW290" s="571"/>
      <c r="DX290" s="571"/>
      <c r="DY290" s="571"/>
      <c r="DZ290" s="571"/>
      <c r="EA290" s="571"/>
      <c r="EB290" s="571"/>
      <c r="EC290" s="571"/>
      <c r="ED290" s="571"/>
      <c r="EE290" s="571"/>
      <c r="EF290" s="571"/>
      <c r="EG290" s="571" t="s">
        <v>1160</v>
      </c>
      <c r="EH290" s="571"/>
      <c r="EI290" s="571"/>
    </row>
    <row r="291" spans="1:139" s="48" customFormat="1" ht="39.75" customHeight="1">
      <c r="A291" s="60">
        <v>597</v>
      </c>
      <c r="B291" s="149">
        <v>37791</v>
      </c>
      <c r="C291" s="62">
        <v>37791.522916666669</v>
      </c>
      <c r="D291" s="150">
        <v>13280687</v>
      </c>
      <c r="E291" s="151" t="s">
        <v>846</v>
      </c>
      <c r="F291" s="48" t="b">
        <v>0</v>
      </c>
      <c r="G291" s="48" t="s">
        <v>1558</v>
      </c>
      <c r="H291" s="143" t="s">
        <v>441</v>
      </c>
      <c r="I291" s="152">
        <v>23417</v>
      </c>
      <c r="J291" s="153">
        <v>39.38082191780822</v>
      </c>
      <c r="K291" s="85">
        <v>472.51808021038789</v>
      </c>
      <c r="L291" s="145" t="s">
        <v>493</v>
      </c>
      <c r="M291" s="659" t="s">
        <v>1284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662"/>
      <c r="AK291" s="324">
        <f t="shared" si="8"/>
        <v>0</v>
      </c>
      <c r="AL291" s="663"/>
      <c r="AM291" s="664"/>
      <c r="AN291" s="660"/>
      <c r="AO291" s="61"/>
      <c r="AP291" s="660"/>
      <c r="AQ291" s="664"/>
      <c r="AR291" s="660"/>
      <c r="AS291" s="660"/>
      <c r="AT291" s="662"/>
      <c r="AU291" s="660"/>
      <c r="AV291" s="660"/>
      <c r="AW291" s="660"/>
      <c r="AX291" s="71" t="s">
        <v>1285</v>
      </c>
      <c r="AY291" s="660"/>
      <c r="AZ291" s="660">
        <v>1</v>
      </c>
      <c r="BB291" s="82"/>
      <c r="BC291" s="82"/>
      <c r="BD291" s="82"/>
      <c r="BE291" s="82"/>
      <c r="BF291" s="235"/>
      <c r="BG291" s="767"/>
      <c r="BH291" s="767"/>
      <c r="BI291" s="665"/>
      <c r="BJ291" s="660"/>
      <c r="BK291" s="660"/>
      <c r="BL291" s="660"/>
      <c r="BM291" s="660"/>
      <c r="BN291" s="660"/>
      <c r="BO291" s="660"/>
      <c r="BP291" s="660"/>
      <c r="BQ291" s="660"/>
      <c r="BR291" s="660"/>
      <c r="BS291" s="666"/>
      <c r="BT291" s="228" t="s">
        <v>174</v>
      </c>
      <c r="BU291" s="138"/>
      <c r="BV291" s="138"/>
      <c r="BW291" s="138"/>
      <c r="BX291" s="660"/>
      <c r="BY291" s="660"/>
      <c r="BZ291" s="660"/>
      <c r="CA291" s="660"/>
      <c r="CB291" s="660"/>
      <c r="CC291" s="660"/>
      <c r="CD291" s="660"/>
      <c r="CE291" s="660"/>
      <c r="CF291" s="660"/>
      <c r="CG291" s="660"/>
      <c r="CH291" s="660"/>
      <c r="CI291" s="660"/>
      <c r="CJ291" s="82">
        <v>0</v>
      </c>
      <c r="CK291" s="82">
        <v>0</v>
      </c>
      <c r="CL291" s="660"/>
      <c r="CP291" s="505"/>
      <c r="CQ291" s="505"/>
      <c r="CR291" s="84">
        <v>37789</v>
      </c>
      <c r="CS291" s="84">
        <v>37799</v>
      </c>
      <c r="CT291" s="83">
        <v>8</v>
      </c>
      <c r="CU291" s="84"/>
      <c r="CV291" s="154"/>
      <c r="CW291" s="84"/>
      <c r="CX291" s="154"/>
      <c r="CY291" s="154"/>
      <c r="CZ291" s="154"/>
      <c r="DA291" s="84"/>
      <c r="DB291" s="154"/>
      <c r="DC291" s="84"/>
      <c r="DD291" s="154"/>
      <c r="DE291" s="84"/>
      <c r="DF291" s="154"/>
      <c r="DG291" s="84"/>
      <c r="DH291" s="84"/>
      <c r="DI291" s="143"/>
      <c r="DJ291" s="138">
        <v>0</v>
      </c>
      <c r="DK291" s="155"/>
      <c r="DL291" s="82"/>
      <c r="DM291" s="82"/>
      <c r="DN291" s="143"/>
      <c r="DO291" s="143"/>
      <c r="DP291" s="143"/>
      <c r="DQ291" s="143"/>
      <c r="DR291" s="143"/>
      <c r="DS291" s="143"/>
      <c r="DT291" s="143"/>
      <c r="DU291" s="143" t="s">
        <v>1160</v>
      </c>
      <c r="DV291" s="143" t="b">
        <v>0</v>
      </c>
      <c r="DW291" s="84">
        <v>37741</v>
      </c>
      <c r="DX291" s="143" t="s">
        <v>1286</v>
      </c>
      <c r="DY291" s="143"/>
      <c r="DZ291" s="143"/>
      <c r="EA291" s="143"/>
      <c r="EB291" s="143"/>
      <c r="EC291" s="143"/>
      <c r="ED291" s="143"/>
      <c r="EE291" s="143"/>
      <c r="EF291" s="143"/>
      <c r="EG291" s="143" t="s">
        <v>1160</v>
      </c>
      <c r="EH291" s="143"/>
      <c r="EI291" s="143"/>
    </row>
    <row r="292" spans="1:139" s="48" customFormat="1" ht="39.75" customHeight="1">
      <c r="A292" s="60">
        <v>599</v>
      </c>
      <c r="B292" s="149">
        <v>37701</v>
      </c>
      <c r="C292" s="62">
        <v>37701.513888888891</v>
      </c>
      <c r="D292" s="150">
        <v>12999834</v>
      </c>
      <c r="E292" s="151" t="s">
        <v>1287</v>
      </c>
      <c r="F292" s="48" t="b">
        <v>0</v>
      </c>
      <c r="G292" s="48" t="s">
        <v>1487</v>
      </c>
      <c r="H292" s="143" t="s">
        <v>441</v>
      </c>
      <c r="I292" s="152">
        <v>21087</v>
      </c>
      <c r="J292" s="153">
        <v>45.517808219178079</v>
      </c>
      <c r="K292" s="85">
        <v>546.15384615384608</v>
      </c>
      <c r="L292" s="143" t="s">
        <v>493</v>
      </c>
      <c r="M292" s="667" t="s">
        <v>1288</v>
      </c>
      <c r="N292" s="48">
        <v>150</v>
      </c>
      <c r="O292" s="48">
        <v>42.9</v>
      </c>
      <c r="P292" s="48">
        <f t="shared" si="9"/>
        <v>19.066666666666666</v>
      </c>
      <c r="Q292" s="71"/>
      <c r="V292" s="71"/>
      <c r="Y292" s="216"/>
      <c r="Z292" s="668"/>
      <c r="AA292" s="109"/>
      <c r="AB292" s="109"/>
      <c r="AC292" s="109"/>
      <c r="AD292" s="109"/>
      <c r="AE292" s="109"/>
      <c r="AF292" s="109"/>
      <c r="AG292" s="109"/>
      <c r="AH292" s="109"/>
      <c r="AI292" s="109"/>
      <c r="AJ292" s="109"/>
      <c r="AK292" s="324">
        <f t="shared" si="8"/>
        <v>0</v>
      </c>
      <c r="AL292" s="669"/>
      <c r="AM292" s="108"/>
      <c r="AN292" s="71"/>
      <c r="AO292" s="61"/>
      <c r="AP292" s="71"/>
      <c r="AQ292" s="108"/>
      <c r="AR292" s="71"/>
      <c r="AS292" s="71"/>
      <c r="AT292" s="109"/>
      <c r="AU292" s="71"/>
      <c r="AV292" s="71"/>
      <c r="AW292" s="71"/>
      <c r="AX292" s="71" t="s">
        <v>1289</v>
      </c>
      <c r="AY292" s="71"/>
      <c r="AZ292" s="71"/>
      <c r="BB292" s="82"/>
      <c r="BC292" s="82"/>
      <c r="BD292" s="82"/>
      <c r="BE292" s="82"/>
      <c r="BF292" s="235"/>
      <c r="BG292" s="767"/>
      <c r="BH292" s="767"/>
      <c r="BI292" s="224"/>
      <c r="BJ292" s="71"/>
      <c r="BK292" s="71"/>
      <c r="BL292" s="71"/>
      <c r="BM292" s="71"/>
      <c r="BN292" s="71"/>
      <c r="BO292" s="71"/>
      <c r="BP292" s="71"/>
      <c r="BQ292" s="71"/>
      <c r="BR292" s="71"/>
      <c r="BS292" s="241"/>
      <c r="BT292" s="224" t="s">
        <v>238</v>
      </c>
      <c r="BU292" s="71"/>
      <c r="BV292" s="71"/>
      <c r="BW292" s="71"/>
      <c r="BX292" s="71"/>
      <c r="BY292" s="71"/>
      <c r="BZ292" s="71"/>
      <c r="CA292" s="71"/>
      <c r="CB292" s="71"/>
      <c r="CC292" s="71"/>
      <c r="CD292" s="71"/>
      <c r="CE292" s="71"/>
      <c r="CF292" s="71"/>
      <c r="CG292" s="71"/>
      <c r="CH292" s="71"/>
      <c r="CI292" s="71"/>
      <c r="CJ292" s="82">
        <v>0</v>
      </c>
      <c r="CK292" s="82">
        <v>0</v>
      </c>
      <c r="CL292" s="71"/>
      <c r="CP292" s="505"/>
      <c r="CQ292" s="505"/>
      <c r="CR292" s="84">
        <v>37698</v>
      </c>
      <c r="CS292" s="84">
        <v>37737</v>
      </c>
      <c r="CT292" s="83">
        <v>36</v>
      </c>
      <c r="CU292" s="84"/>
      <c r="CV292" s="154"/>
      <c r="CW292" s="84"/>
      <c r="CX292" s="154"/>
      <c r="CY292" s="154"/>
      <c r="CZ292" s="154"/>
      <c r="DA292" s="84"/>
      <c r="DB292" s="154"/>
      <c r="DC292" s="84"/>
      <c r="DD292" s="154"/>
      <c r="DE292" s="84"/>
      <c r="DF292" s="154"/>
      <c r="DG292" s="84"/>
      <c r="DH292" s="84"/>
      <c r="DI292" s="143"/>
      <c r="DJ292" s="138">
        <v>0</v>
      </c>
      <c r="DK292" s="155"/>
      <c r="DL292" s="82"/>
      <c r="DM292" s="82"/>
      <c r="DN292" s="143"/>
      <c r="DO292" s="143"/>
      <c r="DP292" s="143"/>
      <c r="DQ292" s="143"/>
      <c r="DR292" s="143"/>
      <c r="DS292" s="143"/>
      <c r="DT292" s="143"/>
      <c r="DU292" s="143"/>
      <c r="DV292" s="143" t="b">
        <v>0</v>
      </c>
      <c r="DW292" s="143"/>
      <c r="DX292" s="143"/>
      <c r="DY292" s="143"/>
      <c r="DZ292" s="143"/>
      <c r="EA292" s="143"/>
      <c r="EB292" s="143"/>
      <c r="EC292" s="143"/>
      <c r="ED292" s="143"/>
      <c r="EE292" s="143"/>
      <c r="EF292" s="143"/>
      <c r="EG292" s="143"/>
      <c r="EH292" s="143"/>
      <c r="EI292" s="143"/>
    </row>
    <row r="293" spans="1:139" s="544" customFormat="1" ht="39.75" customHeight="1">
      <c r="A293" s="539">
        <v>600</v>
      </c>
      <c r="B293" s="623">
        <v>37679</v>
      </c>
      <c r="C293" s="541">
        <v>37679.5</v>
      </c>
      <c r="D293" s="624">
        <v>12834766</v>
      </c>
      <c r="E293" s="625" t="s">
        <v>1290</v>
      </c>
      <c r="F293" s="544" t="b">
        <v>1</v>
      </c>
      <c r="H293" s="571" t="s">
        <v>418</v>
      </c>
      <c r="I293" s="626">
        <v>13469</v>
      </c>
      <c r="J293" s="627">
        <v>66.328767123287676</v>
      </c>
      <c r="K293" s="546">
        <v>795.85798816568047</v>
      </c>
      <c r="L293" s="571" t="s">
        <v>493</v>
      </c>
      <c r="M293" s="655" t="s">
        <v>1291</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v>0</v>
      </c>
      <c r="AK293" s="552">
        <f t="shared" si="8"/>
        <v>0</v>
      </c>
      <c r="AL293" s="553"/>
      <c r="AM293" s="554">
        <v>37659</v>
      </c>
      <c r="AN293" s="549" t="s">
        <v>2092</v>
      </c>
      <c r="AO293" s="555">
        <v>37684</v>
      </c>
      <c r="AP293" s="539" t="s">
        <v>1292</v>
      </c>
      <c r="AQ293" s="554"/>
      <c r="AR293" s="549">
        <v>0</v>
      </c>
      <c r="AS293" s="549"/>
      <c r="AT293" s="552">
        <v>0</v>
      </c>
      <c r="AU293" s="549">
        <v>1</v>
      </c>
      <c r="AV293" s="549">
        <v>0</v>
      </c>
      <c r="AW293" s="549">
        <v>1</v>
      </c>
      <c r="AX293" s="596" t="s">
        <v>1295</v>
      </c>
      <c r="AY293" s="557"/>
      <c r="AZ293" s="557" t="s">
        <v>1503</v>
      </c>
      <c r="BA293" s="544">
        <v>0</v>
      </c>
      <c r="BB293" s="558">
        <v>1</v>
      </c>
      <c r="BC293" s="558">
        <v>3</v>
      </c>
      <c r="BD293" s="558">
        <v>0</v>
      </c>
      <c r="BE293" s="558">
        <v>0</v>
      </c>
      <c r="BF293" s="559">
        <v>1</v>
      </c>
      <c r="BG293" s="771">
        <v>0</v>
      </c>
      <c r="BH293" s="771"/>
      <c r="BI293" s="657">
        <v>1</v>
      </c>
      <c r="BJ293" s="557"/>
      <c r="BK293" s="544">
        <v>1</v>
      </c>
      <c r="BL293" s="557" t="s">
        <v>1293</v>
      </c>
      <c r="BM293" s="544">
        <v>1</v>
      </c>
      <c r="BN293" s="557" t="s">
        <v>1294</v>
      </c>
      <c r="BO293" s="557">
        <v>0</v>
      </c>
      <c r="BP293" s="557">
        <v>0</v>
      </c>
      <c r="BQ293" s="557">
        <v>0</v>
      </c>
      <c r="BR293" s="557">
        <v>1</v>
      </c>
      <c r="BS293" s="670">
        <v>0</v>
      </c>
      <c r="BT293" s="657">
        <v>0</v>
      </c>
      <c r="BU293" s="557"/>
      <c r="BV293" s="557">
        <v>0</v>
      </c>
      <c r="BW293" s="557">
        <v>0</v>
      </c>
      <c r="BX293" s="557">
        <v>0</v>
      </c>
      <c r="BY293" s="557"/>
      <c r="BZ293" s="557"/>
      <c r="CA293" s="557"/>
      <c r="CB293" s="563">
        <v>0</v>
      </c>
      <c r="CC293" s="563">
        <v>0</v>
      </c>
      <c r="CD293" s="563">
        <v>0</v>
      </c>
      <c r="CE293" s="563"/>
      <c r="CF293" s="563"/>
      <c r="CG293" s="557"/>
      <c r="CH293" s="557">
        <v>0</v>
      </c>
      <c r="CI293" s="557"/>
      <c r="CJ293" s="558">
        <v>0</v>
      </c>
      <c r="CK293" s="558">
        <v>0</v>
      </c>
      <c r="CL293" s="557">
        <v>0</v>
      </c>
      <c r="CP293" s="564"/>
      <c r="CQ293" s="564"/>
      <c r="CR293" s="566">
        <v>37675</v>
      </c>
      <c r="CS293" s="566">
        <v>37687</v>
      </c>
      <c r="CT293" s="565">
        <v>8</v>
      </c>
      <c r="CU293" s="566">
        <v>44013</v>
      </c>
      <c r="CV293" s="628">
        <v>0</v>
      </c>
      <c r="CW293" s="566"/>
      <c r="CX293" s="628">
        <v>0</v>
      </c>
      <c r="CY293" s="628">
        <v>0</v>
      </c>
      <c r="CZ293" s="628">
        <v>0</v>
      </c>
      <c r="DA293" s="566"/>
      <c r="DB293" s="628">
        <v>0</v>
      </c>
      <c r="DC293" s="566"/>
      <c r="DD293" s="628">
        <v>0</v>
      </c>
      <c r="DE293" s="566"/>
      <c r="DF293" s="628">
        <v>1</v>
      </c>
      <c r="DG293" s="566">
        <v>41682</v>
      </c>
      <c r="DH293" s="566" t="s">
        <v>1110</v>
      </c>
      <c r="DI293" s="571"/>
      <c r="DJ293" s="574">
        <v>0</v>
      </c>
      <c r="DK293" s="572"/>
      <c r="DL293" s="558"/>
      <c r="DM293" s="558"/>
      <c r="DN293" s="571"/>
      <c r="DO293" s="571"/>
      <c r="DP293" s="571"/>
      <c r="DQ293" s="571"/>
      <c r="DR293" s="571"/>
      <c r="DS293" s="571"/>
      <c r="DT293" s="571"/>
      <c r="DU293" s="571"/>
      <c r="DV293" s="571" t="b">
        <v>0</v>
      </c>
      <c r="DW293" s="571"/>
      <c r="DX293" s="571"/>
      <c r="DY293" s="571"/>
      <c r="DZ293" s="571"/>
      <c r="EA293" s="571"/>
      <c r="EB293" s="571"/>
      <c r="EC293" s="571"/>
      <c r="ED293" s="571"/>
      <c r="EE293" s="571"/>
      <c r="EF293" s="571"/>
      <c r="EG293" s="571" t="s">
        <v>1160</v>
      </c>
      <c r="EH293" s="571"/>
      <c r="EI293" s="571"/>
    </row>
    <row r="294" spans="1:139" s="544" customFormat="1" ht="39.75" customHeight="1">
      <c r="A294" s="539">
        <v>606</v>
      </c>
      <c r="B294" s="623">
        <v>37442</v>
      </c>
      <c r="C294" s="541">
        <v>37442.489583333336</v>
      </c>
      <c r="D294" s="624">
        <v>11782178</v>
      </c>
      <c r="E294" s="625" t="s">
        <v>1296</v>
      </c>
      <c r="F294" s="544" t="b">
        <v>1</v>
      </c>
      <c r="H294" s="571" t="s">
        <v>441</v>
      </c>
      <c r="I294" s="626">
        <v>24347</v>
      </c>
      <c r="J294" s="627">
        <v>35.876712328767127</v>
      </c>
      <c r="K294" s="546">
        <v>430.47337278106505</v>
      </c>
      <c r="L294" s="608" t="s">
        <v>493</v>
      </c>
      <c r="M294" s="603" t="s">
        <v>1297</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673">
        <v>0</v>
      </c>
      <c r="AK294" s="552">
        <f t="shared" si="8"/>
        <v>0</v>
      </c>
      <c r="AL294" s="674"/>
      <c r="AM294" s="671">
        <v>37429</v>
      </c>
      <c r="AN294" s="608" t="s">
        <v>1598</v>
      </c>
      <c r="AO294" s="555">
        <v>37456</v>
      </c>
      <c r="AP294" s="608" t="s">
        <v>1517</v>
      </c>
      <c r="AQ294" s="671">
        <v>37429</v>
      </c>
      <c r="AR294" s="608">
        <v>0</v>
      </c>
      <c r="AS294" s="608"/>
      <c r="AT294" s="673">
        <v>0</v>
      </c>
      <c r="AU294" s="608">
        <v>1</v>
      </c>
      <c r="AV294" s="608">
        <v>0</v>
      </c>
      <c r="AW294" s="608">
        <v>1</v>
      </c>
      <c r="AX294" s="574" t="s">
        <v>1298</v>
      </c>
      <c r="AY294" s="608"/>
      <c r="AZ294" s="608" t="s">
        <v>1503</v>
      </c>
      <c r="BA294" s="544">
        <v>0</v>
      </c>
      <c r="BB294" s="558">
        <v>1</v>
      </c>
      <c r="BC294" s="558">
        <v>10</v>
      </c>
      <c r="BD294" s="558">
        <v>0</v>
      </c>
      <c r="BE294" s="558">
        <v>0</v>
      </c>
      <c r="BF294" s="559">
        <v>0</v>
      </c>
      <c r="BG294" s="771">
        <v>0</v>
      </c>
      <c r="BH294" s="771"/>
      <c r="BI294" s="675">
        <v>0</v>
      </c>
      <c r="BJ294" s="608"/>
      <c r="BK294" s="608">
        <v>0</v>
      </c>
      <c r="BL294" s="608"/>
      <c r="BM294" s="608">
        <v>0</v>
      </c>
      <c r="BN294" s="608"/>
      <c r="BO294" s="608">
        <v>0</v>
      </c>
      <c r="BP294" s="608">
        <v>0</v>
      </c>
      <c r="BQ294" s="608">
        <v>0</v>
      </c>
      <c r="BR294" s="608">
        <v>0</v>
      </c>
      <c r="BS294" s="676">
        <v>0</v>
      </c>
      <c r="BT294" s="573">
        <v>1</v>
      </c>
      <c r="BU294" s="574" t="s">
        <v>2055</v>
      </c>
      <c r="BV294" s="574">
        <v>0</v>
      </c>
      <c r="BW294" s="574">
        <v>0</v>
      </c>
      <c r="BX294" s="608">
        <v>0</v>
      </c>
      <c r="BY294" s="608"/>
      <c r="BZ294" s="608"/>
      <c r="CA294" s="608"/>
      <c r="CB294" s="608">
        <v>0</v>
      </c>
      <c r="CC294" s="608">
        <v>0</v>
      </c>
      <c r="CD294" s="608">
        <v>0</v>
      </c>
      <c r="CE294" s="608"/>
      <c r="CF294" s="608"/>
      <c r="CG294" s="608"/>
      <c r="CH294" s="608">
        <v>0</v>
      </c>
      <c r="CI294" s="608"/>
      <c r="CJ294" s="558">
        <v>0</v>
      </c>
      <c r="CK294" s="558">
        <v>0</v>
      </c>
      <c r="CL294" s="608">
        <v>0</v>
      </c>
      <c r="CP294" s="564"/>
      <c r="CQ294" s="564"/>
      <c r="CR294" s="566">
        <v>37431</v>
      </c>
      <c r="CS294" s="566">
        <v>37457</v>
      </c>
      <c r="CT294" s="565">
        <v>15</v>
      </c>
      <c r="CU294" s="566">
        <v>44314</v>
      </c>
      <c r="CV294" s="628">
        <v>0</v>
      </c>
      <c r="CW294" s="566"/>
      <c r="CX294" s="628">
        <v>0</v>
      </c>
      <c r="CY294" s="628">
        <v>0</v>
      </c>
      <c r="CZ294" s="628">
        <v>0</v>
      </c>
      <c r="DA294" s="566"/>
      <c r="DB294" s="628">
        <v>0</v>
      </c>
      <c r="DC294" s="566"/>
      <c r="DD294" s="628">
        <v>0</v>
      </c>
      <c r="DE294" s="566"/>
      <c r="DF294" s="628">
        <v>0</v>
      </c>
      <c r="DG294" s="566"/>
      <c r="DH294" s="566"/>
      <c r="DI294" s="571"/>
      <c r="DJ294" s="574">
        <v>0</v>
      </c>
      <c r="DK294" s="572"/>
      <c r="DL294" s="558"/>
      <c r="DM294" s="558"/>
      <c r="DN294" s="571"/>
      <c r="DO294" s="571"/>
      <c r="DP294" s="571"/>
      <c r="DQ294" s="571"/>
      <c r="DR294" s="571"/>
      <c r="DS294" s="571"/>
      <c r="DT294" s="571"/>
      <c r="DU294" s="571"/>
      <c r="DV294" s="571" t="b">
        <v>0</v>
      </c>
      <c r="DW294" s="571"/>
      <c r="DX294" s="571"/>
      <c r="DY294" s="571"/>
      <c r="DZ294" s="571"/>
      <c r="EA294" s="571"/>
      <c r="EB294" s="571"/>
      <c r="EC294" s="571"/>
      <c r="ED294" s="571"/>
      <c r="EE294" s="571"/>
      <c r="EF294" s="571"/>
      <c r="EG294" s="571" t="s">
        <v>1160</v>
      </c>
      <c r="EH294" s="571"/>
      <c r="EI294" s="571"/>
    </row>
    <row r="295" spans="1:139" s="544" customFormat="1" ht="39.75" customHeight="1">
      <c r="A295" s="539">
        <v>607</v>
      </c>
      <c r="B295" s="623">
        <v>37428</v>
      </c>
      <c r="C295" s="541">
        <v>37428.375</v>
      </c>
      <c r="D295" s="624">
        <v>5467652</v>
      </c>
      <c r="E295" s="625" t="s">
        <v>1299</v>
      </c>
      <c r="F295" s="544" t="b">
        <v>1</v>
      </c>
      <c r="H295" s="571" t="s">
        <v>441</v>
      </c>
      <c r="I295" s="626">
        <v>23173</v>
      </c>
      <c r="J295" s="627">
        <v>39.054794520547944</v>
      </c>
      <c r="K295" s="546">
        <v>468.60618014464166</v>
      </c>
      <c r="L295" s="571" t="s">
        <v>493</v>
      </c>
      <c r="M295" s="655" t="s">
        <v>1300</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v>0</v>
      </c>
      <c r="AK295" s="552">
        <f t="shared" si="8"/>
        <v>0</v>
      </c>
      <c r="AL295" s="553"/>
      <c r="AM295" s="554">
        <v>37418</v>
      </c>
      <c r="AN295" s="549" t="s">
        <v>1733</v>
      </c>
      <c r="AO295" s="555">
        <v>37446</v>
      </c>
      <c r="AP295" s="539" t="s">
        <v>187</v>
      </c>
      <c r="AQ295" s="554">
        <v>37419</v>
      </c>
      <c r="AR295" s="549">
        <v>1</v>
      </c>
      <c r="AS295" s="549" t="s">
        <v>1301</v>
      </c>
      <c r="AT295" s="552">
        <v>0</v>
      </c>
      <c r="AU295" s="549">
        <v>0</v>
      </c>
      <c r="AV295" s="549">
        <v>0</v>
      </c>
      <c r="AW295" s="549">
        <v>1</v>
      </c>
      <c r="AX295" s="574" t="s">
        <v>1303</v>
      </c>
      <c r="AY295" s="571"/>
      <c r="AZ295" s="571" t="s">
        <v>1507</v>
      </c>
      <c r="BA295" s="544">
        <v>0</v>
      </c>
      <c r="BB295" s="558">
        <v>1</v>
      </c>
      <c r="BC295" s="558">
        <v>12</v>
      </c>
      <c r="BD295" s="558">
        <v>0</v>
      </c>
      <c r="BE295" s="558">
        <v>0</v>
      </c>
      <c r="BF295" s="559">
        <v>0</v>
      </c>
      <c r="BG295" s="771">
        <v>0</v>
      </c>
      <c r="BH295" s="771"/>
      <c r="BI295" s="677">
        <v>1</v>
      </c>
      <c r="BJ295" s="571"/>
      <c r="BK295" s="544">
        <v>1</v>
      </c>
      <c r="BL295" s="557" t="s">
        <v>1302</v>
      </c>
      <c r="BM295" s="571">
        <v>0</v>
      </c>
      <c r="BN295" s="571"/>
      <c r="BO295" s="571">
        <v>0</v>
      </c>
      <c r="BP295" s="571">
        <v>0</v>
      </c>
      <c r="BQ295" s="571">
        <v>0</v>
      </c>
      <c r="BR295" s="571">
        <v>0</v>
      </c>
      <c r="BS295" s="658">
        <v>0</v>
      </c>
      <c r="BT295" s="677">
        <v>0</v>
      </c>
      <c r="BU295" s="571"/>
      <c r="BV295" s="571">
        <v>0</v>
      </c>
      <c r="BW295" s="571">
        <v>0</v>
      </c>
      <c r="BX295" s="571">
        <v>0</v>
      </c>
      <c r="BY295" s="571"/>
      <c r="BZ295" s="571"/>
      <c r="CA295" s="557"/>
      <c r="CB295" s="678">
        <v>0</v>
      </c>
      <c r="CC295" s="678">
        <v>0</v>
      </c>
      <c r="CD295" s="678">
        <v>0</v>
      </c>
      <c r="CE295" s="678"/>
      <c r="CF295" s="678"/>
      <c r="CG295" s="571"/>
      <c r="CH295" s="571">
        <v>0</v>
      </c>
      <c r="CI295" s="571"/>
      <c r="CJ295" s="558">
        <v>0</v>
      </c>
      <c r="CK295" s="558">
        <v>0</v>
      </c>
      <c r="CL295" s="571">
        <v>0</v>
      </c>
      <c r="CP295" s="564"/>
      <c r="CQ295" s="564"/>
      <c r="CR295" s="566">
        <v>37416</v>
      </c>
      <c r="CS295" s="566">
        <v>37452</v>
      </c>
      <c r="CT295" s="565">
        <v>24</v>
      </c>
      <c r="CU295" s="566">
        <v>44337</v>
      </c>
      <c r="CV295" s="628">
        <v>0</v>
      </c>
      <c r="CW295" s="566"/>
      <c r="CX295" s="628">
        <v>0</v>
      </c>
      <c r="CY295" s="628">
        <v>0</v>
      </c>
      <c r="CZ295" s="628">
        <v>0</v>
      </c>
      <c r="DA295" s="566"/>
      <c r="DB295" s="628">
        <v>0</v>
      </c>
      <c r="DC295" s="566"/>
      <c r="DD295" s="628">
        <v>0</v>
      </c>
      <c r="DE295" s="566"/>
      <c r="DF295" s="628">
        <v>0</v>
      </c>
      <c r="DG295" s="566"/>
      <c r="DH295" s="566"/>
      <c r="DI295" s="571"/>
      <c r="DJ295" s="574">
        <v>0</v>
      </c>
      <c r="DK295" s="572"/>
      <c r="DL295" s="558"/>
      <c r="DM295" s="558"/>
      <c r="DN295" s="571"/>
      <c r="DO295" s="571"/>
      <c r="DP295" s="571"/>
      <c r="DQ295" s="571"/>
      <c r="DR295" s="571"/>
      <c r="DS295" s="571"/>
      <c r="DT295" s="571"/>
      <c r="DU295" s="571" t="s">
        <v>1160</v>
      </c>
      <c r="DV295" s="571" t="b">
        <v>0</v>
      </c>
      <c r="DW295" s="566">
        <v>39359</v>
      </c>
      <c r="DX295" s="571" t="s">
        <v>1304</v>
      </c>
      <c r="DY295" s="571" t="s">
        <v>1305</v>
      </c>
      <c r="DZ295" s="571"/>
      <c r="EA295" s="571"/>
      <c r="EB295" s="571"/>
      <c r="EC295" s="571"/>
      <c r="ED295" s="571"/>
      <c r="EE295" s="571"/>
      <c r="EF295" s="571"/>
      <c r="EG295" s="571" t="s">
        <v>1160</v>
      </c>
      <c r="EH295" s="571"/>
      <c r="EI295" s="571"/>
    </row>
    <row r="296" spans="1:139" s="544" customFormat="1" ht="39.75" customHeight="1">
      <c r="A296" s="539">
        <v>610</v>
      </c>
      <c r="B296" s="623">
        <v>37386</v>
      </c>
      <c r="C296" s="541">
        <v>37386.420138888891</v>
      </c>
      <c r="D296" s="624">
        <v>11583302</v>
      </c>
      <c r="E296" s="625" t="s">
        <v>1306</v>
      </c>
      <c r="F296" s="544" t="b">
        <v>1</v>
      </c>
      <c r="H296" s="571" t="s">
        <v>418</v>
      </c>
      <c r="I296" s="626">
        <v>30624</v>
      </c>
      <c r="J296" s="627">
        <v>18.526027397260275</v>
      </c>
      <c r="K296" s="546">
        <v>222.28796844181457</v>
      </c>
      <c r="L296" s="608" t="s">
        <v>493</v>
      </c>
      <c r="M296" s="679" t="s">
        <v>1307</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683">
        <v>0</v>
      </c>
      <c r="AK296" s="552">
        <f t="shared" si="8"/>
        <v>0</v>
      </c>
      <c r="AL296" s="684"/>
      <c r="AM296" s="680">
        <v>37384</v>
      </c>
      <c r="AN296" s="681" t="s">
        <v>2148</v>
      </c>
      <c r="AO296" s="555">
        <v>37418</v>
      </c>
      <c r="AP296" s="681" t="s">
        <v>1587</v>
      </c>
      <c r="AQ296" s="680"/>
      <c r="AR296" s="681">
        <v>1</v>
      </c>
      <c r="AS296" s="681" t="s">
        <v>1518</v>
      </c>
      <c r="AT296" s="683">
        <v>0</v>
      </c>
      <c r="AU296" s="681">
        <v>0</v>
      </c>
      <c r="AV296" s="681">
        <v>0</v>
      </c>
      <c r="AW296" s="681">
        <v>1</v>
      </c>
      <c r="AX296" s="574" t="s">
        <v>1308</v>
      </c>
      <c r="AY296" s="608"/>
      <c r="AZ296" s="608" t="s">
        <v>1537</v>
      </c>
      <c r="BA296" s="544">
        <v>0</v>
      </c>
      <c r="BB296" s="558">
        <v>1</v>
      </c>
      <c r="BC296" s="558">
        <v>20</v>
      </c>
      <c r="BD296" s="558">
        <v>0</v>
      </c>
      <c r="BE296" s="558">
        <v>0</v>
      </c>
      <c r="BF296" s="559">
        <v>0</v>
      </c>
      <c r="BG296" s="771">
        <v>1</v>
      </c>
      <c r="BH296" s="771" t="s">
        <v>2004</v>
      </c>
      <c r="BI296" s="675">
        <v>0</v>
      </c>
      <c r="BJ296" s="608"/>
      <c r="BK296" s="608">
        <v>0</v>
      </c>
      <c r="BL296" s="608"/>
      <c r="BM296" s="608">
        <v>0</v>
      </c>
      <c r="BN296" s="608"/>
      <c r="BO296" s="608">
        <v>0</v>
      </c>
      <c r="BP296" s="608">
        <v>0</v>
      </c>
      <c r="BQ296" s="608">
        <v>0</v>
      </c>
      <c r="BR296" s="608">
        <v>0</v>
      </c>
      <c r="BS296" s="676">
        <v>0</v>
      </c>
      <c r="BT296" s="573">
        <v>1</v>
      </c>
      <c r="BU296" s="574" t="s">
        <v>2009</v>
      </c>
      <c r="BV296" s="574">
        <v>0</v>
      </c>
      <c r="BW296" s="574">
        <v>0</v>
      </c>
      <c r="BX296" s="608">
        <v>0</v>
      </c>
      <c r="BY296" s="608"/>
      <c r="BZ296" s="608"/>
      <c r="CA296" s="608"/>
      <c r="CB296" s="608">
        <v>0</v>
      </c>
      <c r="CC296" s="608">
        <v>0</v>
      </c>
      <c r="CD296" s="608">
        <v>0</v>
      </c>
      <c r="CE296" s="608"/>
      <c r="CF296" s="608"/>
      <c r="CG296" s="608"/>
      <c r="CH296" s="608">
        <v>0</v>
      </c>
      <c r="CI296" s="596"/>
      <c r="CJ296" s="558">
        <v>0</v>
      </c>
      <c r="CK296" s="558">
        <v>0</v>
      </c>
      <c r="CL296" s="608">
        <v>0</v>
      </c>
      <c r="CP296" s="564"/>
      <c r="CQ296" s="564"/>
      <c r="CR296" s="566">
        <v>37385</v>
      </c>
      <c r="CS296" s="566">
        <v>37435</v>
      </c>
      <c r="CT296" s="565">
        <v>49</v>
      </c>
      <c r="CU296" s="566">
        <v>44328</v>
      </c>
      <c r="CV296" s="628">
        <v>0</v>
      </c>
      <c r="CW296" s="566"/>
      <c r="CX296" s="628">
        <v>0</v>
      </c>
      <c r="CY296" s="628">
        <v>0</v>
      </c>
      <c r="CZ296" s="628">
        <v>0</v>
      </c>
      <c r="DA296" s="566"/>
      <c r="DB296" s="628">
        <v>0</v>
      </c>
      <c r="DC296" s="566"/>
      <c r="DD296" s="628">
        <v>0</v>
      </c>
      <c r="DE296" s="566"/>
      <c r="DF296" s="628">
        <v>0</v>
      </c>
      <c r="DG296" s="566"/>
      <c r="DH296" s="566"/>
      <c r="DI296" s="571"/>
      <c r="DJ296" s="558">
        <v>0</v>
      </c>
      <c r="DK296" s="572"/>
      <c r="DL296" s="558"/>
      <c r="DM296" s="558"/>
      <c r="DN296" s="571"/>
      <c r="DO296" s="571"/>
      <c r="DP296" s="571"/>
      <c r="DQ296" s="571"/>
      <c r="DR296" s="571"/>
      <c r="DS296" s="571"/>
      <c r="DT296" s="571"/>
      <c r="DU296" s="571" t="s">
        <v>1160</v>
      </c>
      <c r="DV296" s="571" t="b">
        <v>0</v>
      </c>
      <c r="DW296" s="571"/>
      <c r="DX296" s="571"/>
      <c r="DY296" s="571"/>
      <c r="DZ296" s="571"/>
      <c r="EA296" s="571"/>
      <c r="EB296" s="571"/>
      <c r="EC296" s="571"/>
      <c r="ED296" s="571"/>
      <c r="EE296" s="571"/>
      <c r="EF296" s="571"/>
      <c r="EG296" s="571" t="s">
        <v>1160</v>
      </c>
      <c r="EH296" s="571"/>
      <c r="EI296" s="571"/>
    </row>
    <row r="297" spans="1:139" s="544" customFormat="1" ht="39.75" customHeight="1">
      <c r="A297" s="539">
        <v>611</v>
      </c>
      <c r="B297" s="623">
        <v>37382</v>
      </c>
      <c r="C297" s="541">
        <v>37382.690972222219</v>
      </c>
      <c r="D297" s="624">
        <v>11544974</v>
      </c>
      <c r="E297" s="625" t="s">
        <v>1309</v>
      </c>
      <c r="F297" s="544" t="b">
        <v>1</v>
      </c>
      <c r="H297" s="571" t="s">
        <v>418</v>
      </c>
      <c r="I297" s="626">
        <v>30312</v>
      </c>
      <c r="J297" s="627">
        <v>19.36986301369863</v>
      </c>
      <c r="K297" s="546">
        <v>232.41288625904008</v>
      </c>
      <c r="L297" s="571" t="s">
        <v>876</v>
      </c>
      <c r="M297" s="685" t="s">
        <v>1310</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v>0</v>
      </c>
      <c r="AK297" s="552">
        <f t="shared" si="8"/>
        <v>0</v>
      </c>
      <c r="AL297" s="553"/>
      <c r="AM297" s="554">
        <v>37361</v>
      </c>
      <c r="AN297" s="549" t="s">
        <v>1607</v>
      </c>
      <c r="AO297" s="555">
        <v>37400</v>
      </c>
      <c r="AP297" s="539" t="s">
        <v>223</v>
      </c>
      <c r="AQ297" s="554"/>
      <c r="AR297" s="549">
        <v>0</v>
      </c>
      <c r="AS297" s="549"/>
      <c r="AT297" s="552">
        <v>0</v>
      </c>
      <c r="AU297" s="549">
        <v>1</v>
      </c>
      <c r="AV297" s="549">
        <v>0</v>
      </c>
      <c r="AW297" s="549">
        <v>1</v>
      </c>
      <c r="AX297" s="574" t="s">
        <v>1313</v>
      </c>
      <c r="AY297" s="558"/>
      <c r="AZ297" s="558" t="s">
        <v>1503</v>
      </c>
      <c r="BA297" s="544">
        <v>0</v>
      </c>
      <c r="BB297" s="558">
        <v>1</v>
      </c>
      <c r="BC297" s="558"/>
      <c r="BD297" s="558">
        <v>1</v>
      </c>
      <c r="BE297" s="558">
        <v>0</v>
      </c>
      <c r="BF297" s="559">
        <v>0</v>
      </c>
      <c r="BG297" s="771">
        <v>0</v>
      </c>
      <c r="BH297" s="771"/>
      <c r="BI297" s="579">
        <v>1</v>
      </c>
      <c r="BJ297" s="558"/>
      <c r="BK297" s="544">
        <v>1</v>
      </c>
      <c r="BL297" s="558" t="s">
        <v>1311</v>
      </c>
      <c r="BM297" s="544">
        <v>1</v>
      </c>
      <c r="BN297" s="580" t="s">
        <v>1312</v>
      </c>
      <c r="BO297" s="580">
        <v>0</v>
      </c>
      <c r="BP297" s="580">
        <v>0</v>
      </c>
      <c r="BQ297" s="580">
        <v>1</v>
      </c>
      <c r="BR297" s="580">
        <v>1</v>
      </c>
      <c r="BS297" s="658">
        <v>1</v>
      </c>
      <c r="BT297" s="579">
        <v>0</v>
      </c>
      <c r="BU297" s="558"/>
      <c r="BV297" s="558">
        <v>0</v>
      </c>
      <c r="BW297" s="558">
        <v>0</v>
      </c>
      <c r="BX297" s="558">
        <v>0</v>
      </c>
      <c r="BY297" s="558"/>
      <c r="BZ297" s="558"/>
      <c r="CA297" s="557"/>
      <c r="CB297" s="687">
        <v>0</v>
      </c>
      <c r="CC297" s="687">
        <v>0</v>
      </c>
      <c r="CD297" s="687">
        <v>0</v>
      </c>
      <c r="CE297" s="687"/>
      <c r="CF297" s="687"/>
      <c r="CG297" s="558"/>
      <c r="CH297" s="558">
        <v>0</v>
      </c>
      <c r="CI297" s="558"/>
      <c r="CJ297" s="558">
        <v>0</v>
      </c>
      <c r="CK297" s="558">
        <v>0</v>
      </c>
      <c r="CL297" s="558">
        <v>0</v>
      </c>
      <c r="CP297" s="564"/>
      <c r="CQ297" s="564"/>
      <c r="CR297" s="566">
        <v>37377</v>
      </c>
      <c r="CS297" s="566">
        <v>37401</v>
      </c>
      <c r="CT297" s="565">
        <v>19</v>
      </c>
      <c r="CU297" s="566">
        <v>37510</v>
      </c>
      <c r="CV297" s="628">
        <v>0</v>
      </c>
      <c r="CW297" s="566"/>
      <c r="CX297" s="628">
        <v>0</v>
      </c>
      <c r="CY297" s="628">
        <v>0</v>
      </c>
      <c r="CZ297" s="628">
        <v>0</v>
      </c>
      <c r="DA297" s="566"/>
      <c r="DB297" s="628">
        <v>0</v>
      </c>
      <c r="DC297" s="566"/>
      <c r="DD297" s="628">
        <v>0</v>
      </c>
      <c r="DE297" s="566"/>
      <c r="DF297" s="628">
        <v>0</v>
      </c>
      <c r="DG297" s="566"/>
      <c r="DH297" s="566"/>
      <c r="DI297" s="571"/>
      <c r="DJ297" s="558">
        <v>0</v>
      </c>
      <c r="DK297" s="572"/>
      <c r="DL297" s="558"/>
      <c r="DM297" s="558"/>
      <c r="DN297" s="571"/>
      <c r="DO297" s="571"/>
      <c r="DP297" s="571"/>
      <c r="DQ297" s="571"/>
      <c r="DR297" s="571"/>
      <c r="DS297" s="571"/>
      <c r="DT297" s="571"/>
      <c r="DU297" s="571"/>
      <c r="DV297" s="571" t="b">
        <v>0</v>
      </c>
      <c r="DW297" s="571"/>
      <c r="DX297" s="571"/>
      <c r="DY297" s="571"/>
      <c r="DZ297" s="571"/>
      <c r="EA297" s="571"/>
      <c r="EB297" s="571"/>
      <c r="EC297" s="571"/>
      <c r="ED297" s="571"/>
      <c r="EE297" s="571"/>
      <c r="EF297" s="571"/>
      <c r="EG297" s="571"/>
      <c r="EH297" s="571"/>
      <c r="EI297" s="571"/>
    </row>
    <row r="298" spans="1:139" s="544" customFormat="1" ht="39.75" customHeight="1">
      <c r="A298" s="539">
        <v>612</v>
      </c>
      <c r="B298" s="623">
        <v>37348</v>
      </c>
      <c r="C298" s="541">
        <v>37348.291666666664</v>
      </c>
      <c r="D298" s="624">
        <v>11382895</v>
      </c>
      <c r="E298" s="625" t="s">
        <v>1314</v>
      </c>
      <c r="F298" s="544" t="b">
        <v>1</v>
      </c>
      <c r="H298" s="571" t="s">
        <v>441</v>
      </c>
      <c r="I298" s="626">
        <v>29209</v>
      </c>
      <c r="J298" s="627">
        <v>22.298630136986301</v>
      </c>
      <c r="K298" s="546">
        <v>267.55424063116368</v>
      </c>
      <c r="L298" s="608" t="s">
        <v>1228</v>
      </c>
      <c r="M298" s="603" t="s">
        <v>1315</v>
      </c>
      <c r="P298" s="544" t="e">
        <f t="shared" si="9"/>
        <v>#DIV/0!</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673">
        <v>0</v>
      </c>
      <c r="AK298" s="552" t="e">
        <f t="shared" si="8"/>
        <v>#DIV/0!</v>
      </c>
      <c r="AL298" s="674" t="s">
        <v>2149</v>
      </c>
      <c r="AM298" s="671">
        <v>37312</v>
      </c>
      <c r="AN298" s="608" t="s">
        <v>1525</v>
      </c>
      <c r="AO298" s="555">
        <v>37374</v>
      </c>
      <c r="AP298" s="608" t="s">
        <v>1587</v>
      </c>
      <c r="AQ298" s="671"/>
      <c r="AR298" s="608">
        <v>1</v>
      </c>
      <c r="AS298" s="608" t="s">
        <v>2012</v>
      </c>
      <c r="AT298" s="673">
        <v>0</v>
      </c>
      <c r="AU298" s="608">
        <v>1</v>
      </c>
      <c r="AV298" s="608" t="s">
        <v>1590</v>
      </c>
      <c r="AW298" s="608">
        <v>1</v>
      </c>
      <c r="AX298" s="574" t="s">
        <v>1316</v>
      </c>
      <c r="AY298" s="608"/>
      <c r="AZ298" s="608" t="s">
        <v>1503</v>
      </c>
      <c r="BA298" s="544">
        <v>0</v>
      </c>
      <c r="BB298" s="558">
        <v>1</v>
      </c>
      <c r="BC298" s="558"/>
      <c r="BD298" s="558">
        <v>0</v>
      </c>
      <c r="BE298" s="558">
        <v>0</v>
      </c>
      <c r="BF298" s="559">
        <v>0</v>
      </c>
      <c r="BG298" s="771">
        <v>1</v>
      </c>
      <c r="BH298" s="771" t="s">
        <v>2004</v>
      </c>
      <c r="BI298" s="675">
        <v>0</v>
      </c>
      <c r="BJ298" s="608"/>
      <c r="BK298" s="608">
        <v>0</v>
      </c>
      <c r="BL298" s="608"/>
      <c r="BM298" s="608">
        <v>0</v>
      </c>
      <c r="BN298" s="608"/>
      <c r="BO298" s="608">
        <v>0</v>
      </c>
      <c r="BP298" s="608">
        <v>0</v>
      </c>
      <c r="BQ298" s="608">
        <v>0</v>
      </c>
      <c r="BR298" s="608">
        <v>0</v>
      </c>
      <c r="BS298" s="676">
        <v>0</v>
      </c>
      <c r="BT298" s="675">
        <v>1</v>
      </c>
      <c r="BU298" s="608" t="s">
        <v>2150</v>
      </c>
      <c r="BV298" s="608">
        <v>0</v>
      </c>
      <c r="BW298" s="608">
        <v>0</v>
      </c>
      <c r="BX298" s="608">
        <v>0</v>
      </c>
      <c r="BY298" s="608"/>
      <c r="BZ298" s="608"/>
      <c r="CA298" s="608"/>
      <c r="CB298" s="608">
        <v>0</v>
      </c>
      <c r="CC298" s="608">
        <v>0</v>
      </c>
      <c r="CD298" s="608">
        <v>0</v>
      </c>
      <c r="CE298" s="608"/>
      <c r="CF298" s="608"/>
      <c r="CG298" s="608"/>
      <c r="CH298" s="608">
        <v>0</v>
      </c>
      <c r="CI298" s="596"/>
      <c r="CJ298" s="558">
        <v>0</v>
      </c>
      <c r="CK298" s="558">
        <v>0</v>
      </c>
      <c r="CL298" s="608">
        <v>0</v>
      </c>
      <c r="CP298" s="564"/>
      <c r="CQ298" s="564"/>
      <c r="CR298" s="566">
        <v>37339</v>
      </c>
      <c r="CS298" s="566">
        <v>37377</v>
      </c>
      <c r="CT298" s="565">
        <v>29</v>
      </c>
      <c r="CU298" s="566">
        <v>37384</v>
      </c>
      <c r="CV298" s="628">
        <v>0</v>
      </c>
      <c r="CW298" s="566"/>
      <c r="CX298" s="628">
        <v>0</v>
      </c>
      <c r="CY298" s="628">
        <v>0</v>
      </c>
      <c r="CZ298" s="628">
        <v>0</v>
      </c>
      <c r="DA298" s="566"/>
      <c r="DB298" s="628">
        <v>0</v>
      </c>
      <c r="DC298" s="566"/>
      <c r="DD298" s="628">
        <v>0</v>
      </c>
      <c r="DE298" s="566"/>
      <c r="DF298" s="628">
        <v>0</v>
      </c>
      <c r="DG298" s="566"/>
      <c r="DH298" s="566"/>
      <c r="DI298" s="571"/>
      <c r="DJ298" s="558">
        <v>0</v>
      </c>
      <c r="DK298" s="572"/>
      <c r="DL298" s="558"/>
      <c r="DM298" s="558"/>
      <c r="DN298" s="571"/>
      <c r="DO298" s="571"/>
      <c r="DP298" s="571"/>
      <c r="DQ298" s="571"/>
      <c r="DR298" s="571"/>
      <c r="DS298" s="571"/>
      <c r="DT298" s="571"/>
      <c r="DU298" s="571"/>
      <c r="DV298" s="571" t="b">
        <v>0</v>
      </c>
      <c r="DW298" s="571"/>
      <c r="DX298" s="571"/>
      <c r="DY298" s="571"/>
      <c r="DZ298" s="571"/>
      <c r="EA298" s="571"/>
      <c r="EB298" s="571"/>
      <c r="EC298" s="571"/>
      <c r="ED298" s="571"/>
      <c r="EE298" s="571"/>
      <c r="EF298" s="571"/>
      <c r="EG298" s="571" t="s">
        <v>1160</v>
      </c>
      <c r="EH298" s="571"/>
      <c r="EI298" s="571"/>
    </row>
    <row r="299" spans="1:139" s="544" customFormat="1" ht="39.75" customHeight="1">
      <c r="A299" s="539">
        <v>614</v>
      </c>
      <c r="B299" s="623">
        <v>37324</v>
      </c>
      <c r="C299" s="541">
        <v>37324.565972222219</v>
      </c>
      <c r="D299" s="624">
        <v>7637842</v>
      </c>
      <c r="E299" s="625" t="s">
        <v>1317</v>
      </c>
      <c r="F299" s="544" t="b">
        <v>1</v>
      </c>
      <c r="H299" s="571" t="s">
        <v>441</v>
      </c>
      <c r="I299" s="626">
        <v>30416</v>
      </c>
      <c r="J299" s="627">
        <v>18.926027397260274</v>
      </c>
      <c r="K299" s="546">
        <v>227.08744247205783</v>
      </c>
      <c r="L299" s="608" t="s">
        <v>493</v>
      </c>
      <c r="M299" s="603" t="s">
        <v>1318</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673">
        <v>0</v>
      </c>
      <c r="AK299" s="552">
        <f t="shared" si="8"/>
        <v>0</v>
      </c>
      <c r="AL299" s="674" t="s">
        <v>2151</v>
      </c>
      <c r="AM299" s="671">
        <v>37323</v>
      </c>
      <c r="AN299" s="608" t="s">
        <v>1598</v>
      </c>
      <c r="AO299" s="555">
        <v>37364</v>
      </c>
      <c r="AP299" s="608" t="s">
        <v>135</v>
      </c>
      <c r="AQ299" s="671">
        <v>37323</v>
      </c>
      <c r="AR299" s="608">
        <v>1</v>
      </c>
      <c r="AS299" s="608" t="s">
        <v>2152</v>
      </c>
      <c r="AT299" s="673">
        <v>0</v>
      </c>
      <c r="AU299" s="608">
        <v>0</v>
      </c>
      <c r="AV299" s="608">
        <v>0</v>
      </c>
      <c r="AW299" s="608">
        <v>1</v>
      </c>
      <c r="AX299" s="574" t="s">
        <v>1319</v>
      </c>
      <c r="AY299" s="608"/>
      <c r="AZ299" s="608" t="s">
        <v>1481</v>
      </c>
      <c r="BA299" s="544">
        <v>0</v>
      </c>
      <c r="BB299" s="558">
        <v>1</v>
      </c>
      <c r="BC299" s="558"/>
      <c r="BD299" s="558">
        <v>0</v>
      </c>
      <c r="BE299" s="558">
        <v>0</v>
      </c>
      <c r="BF299" s="559">
        <v>0</v>
      </c>
      <c r="BG299" s="771">
        <v>0</v>
      </c>
      <c r="BH299" s="771"/>
      <c r="BI299" s="675">
        <v>0</v>
      </c>
      <c r="BJ299" s="608"/>
      <c r="BK299" s="608">
        <v>0</v>
      </c>
      <c r="BL299" s="608"/>
      <c r="BM299" s="608">
        <v>0</v>
      </c>
      <c r="BN299" s="608"/>
      <c r="BO299" s="608">
        <v>0</v>
      </c>
      <c r="BP299" s="608">
        <v>0</v>
      </c>
      <c r="BQ299" s="608">
        <v>0</v>
      </c>
      <c r="BR299" s="608">
        <v>0</v>
      </c>
      <c r="BS299" s="676">
        <v>0</v>
      </c>
      <c r="BT299" s="573">
        <v>1</v>
      </c>
      <c r="BU299" s="574" t="s">
        <v>2055</v>
      </c>
      <c r="BV299" s="574">
        <v>0</v>
      </c>
      <c r="BW299" s="574">
        <v>0</v>
      </c>
      <c r="BX299" s="608">
        <v>0</v>
      </c>
      <c r="BY299" s="608"/>
      <c r="BZ299" s="608"/>
      <c r="CA299" s="608"/>
      <c r="CB299" s="608">
        <v>0</v>
      </c>
      <c r="CC299" s="608">
        <v>0</v>
      </c>
      <c r="CD299" s="608">
        <v>0</v>
      </c>
      <c r="CE299" s="608"/>
      <c r="CF299" s="608" t="s">
        <v>1507</v>
      </c>
      <c r="CG299" s="608"/>
      <c r="CH299" s="608">
        <v>0</v>
      </c>
      <c r="CI299" s="608"/>
      <c r="CJ299" s="558">
        <v>0</v>
      </c>
      <c r="CK299" s="558">
        <v>0</v>
      </c>
      <c r="CL299" s="558">
        <v>0</v>
      </c>
      <c r="CP299" s="564"/>
      <c r="CQ299" s="564"/>
      <c r="CR299" s="566">
        <v>37323</v>
      </c>
      <c r="CS299" s="566">
        <v>37365</v>
      </c>
      <c r="CT299" s="565">
        <v>41</v>
      </c>
      <c r="CU299" s="566">
        <v>44211</v>
      </c>
      <c r="CV299" s="628">
        <v>0</v>
      </c>
      <c r="CW299" s="566"/>
      <c r="CX299" s="628">
        <v>0</v>
      </c>
      <c r="CY299" s="628">
        <v>0</v>
      </c>
      <c r="CZ299" s="628">
        <v>0</v>
      </c>
      <c r="DA299" s="566"/>
      <c r="DB299" s="628">
        <v>0</v>
      </c>
      <c r="DC299" s="566"/>
      <c r="DD299" s="628">
        <v>0</v>
      </c>
      <c r="DE299" s="566"/>
      <c r="DF299" s="628">
        <v>0</v>
      </c>
      <c r="DG299" s="566"/>
      <c r="DH299" s="566"/>
      <c r="DI299" s="571"/>
      <c r="DJ299" s="558">
        <v>0</v>
      </c>
      <c r="DK299" s="572"/>
      <c r="DL299" s="558"/>
      <c r="DM299" s="558"/>
      <c r="DN299" s="571"/>
      <c r="DO299" s="571"/>
      <c r="DP299" s="571"/>
      <c r="DQ299" s="571"/>
      <c r="DR299" s="571"/>
      <c r="DS299" s="571"/>
      <c r="DT299" s="571"/>
      <c r="DU299" s="571" t="s">
        <v>1160</v>
      </c>
      <c r="DV299" s="571" t="b">
        <v>0</v>
      </c>
      <c r="DW299" s="566">
        <v>37331</v>
      </c>
      <c r="DX299" s="574" t="s">
        <v>1320</v>
      </c>
      <c r="DY299" s="574" t="s">
        <v>1321</v>
      </c>
      <c r="DZ299" s="571"/>
      <c r="EA299" s="571"/>
      <c r="EB299" s="571"/>
      <c r="EC299" s="571"/>
      <c r="ED299" s="571"/>
      <c r="EE299" s="571"/>
      <c r="EF299" s="571"/>
      <c r="EG299" s="571" t="s">
        <v>1160</v>
      </c>
      <c r="EH299" s="571"/>
      <c r="EI299" s="571"/>
    </row>
    <row r="300" spans="1:139" s="544" customFormat="1" ht="39.75" customHeight="1">
      <c r="A300" s="539">
        <v>615</v>
      </c>
      <c r="B300" s="623">
        <v>37322</v>
      </c>
      <c r="C300" s="541">
        <v>37322.284722222219</v>
      </c>
      <c r="D300" s="624">
        <v>11260751</v>
      </c>
      <c r="E300" s="625" t="s">
        <v>1322</v>
      </c>
      <c r="F300" s="544" t="b">
        <v>1</v>
      </c>
      <c r="H300" s="571" t="s">
        <v>418</v>
      </c>
      <c r="I300" s="626">
        <v>28182</v>
      </c>
      <c r="J300" s="627">
        <v>25.041095890410958</v>
      </c>
      <c r="K300" s="546">
        <v>300.46022353714659</v>
      </c>
      <c r="L300" s="571" t="s">
        <v>493</v>
      </c>
      <c r="M300" s="685" t="s">
        <v>1323</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v>0</v>
      </c>
      <c r="AK300" s="552">
        <f t="shared" si="8"/>
        <v>0</v>
      </c>
      <c r="AL300" s="553"/>
      <c r="AM300" s="554">
        <v>37322</v>
      </c>
      <c r="AN300" s="549" t="s">
        <v>1598</v>
      </c>
      <c r="AO300" s="555">
        <v>37339</v>
      </c>
      <c r="AP300" s="539" t="s">
        <v>1587</v>
      </c>
      <c r="AQ300" s="554"/>
      <c r="AR300" s="549">
        <v>0</v>
      </c>
      <c r="AS300" s="549"/>
      <c r="AT300" s="552">
        <v>0</v>
      </c>
      <c r="AU300" s="549">
        <v>1</v>
      </c>
      <c r="AV300" s="549">
        <v>0</v>
      </c>
      <c r="AW300" s="549">
        <v>0</v>
      </c>
      <c r="AX300" s="574" t="s">
        <v>1324</v>
      </c>
      <c r="AY300" s="558"/>
      <c r="AZ300" s="558" t="s">
        <v>1503</v>
      </c>
      <c r="BA300" s="544">
        <v>0</v>
      </c>
      <c r="BB300" s="558">
        <v>1</v>
      </c>
      <c r="BC300" s="558"/>
      <c r="BD300" s="558">
        <v>0</v>
      </c>
      <c r="BE300" s="558">
        <v>0</v>
      </c>
      <c r="BF300" s="559">
        <v>0</v>
      </c>
      <c r="BG300" s="771">
        <v>0</v>
      </c>
      <c r="BH300" s="771"/>
      <c r="BI300" s="579">
        <v>0</v>
      </c>
      <c r="BJ300" s="558"/>
      <c r="BK300" s="558">
        <v>0</v>
      </c>
      <c r="BL300" s="558"/>
      <c r="BM300" s="558">
        <v>0</v>
      </c>
      <c r="BN300" s="558"/>
      <c r="BO300" s="558">
        <v>0</v>
      </c>
      <c r="BP300" s="558">
        <v>0</v>
      </c>
      <c r="BQ300" s="558">
        <v>0</v>
      </c>
      <c r="BR300" s="558">
        <v>0</v>
      </c>
      <c r="BS300" s="559">
        <v>0</v>
      </c>
      <c r="BT300" s="560">
        <v>1</v>
      </c>
      <c r="BU300" s="561" t="s">
        <v>2153</v>
      </c>
      <c r="BV300" s="561">
        <v>0</v>
      </c>
      <c r="BW300" s="561">
        <v>1</v>
      </c>
      <c r="BX300" s="558">
        <v>1</v>
      </c>
      <c r="BY300" s="558"/>
      <c r="BZ300" s="558" t="s">
        <v>1507</v>
      </c>
      <c r="CA300" s="557" t="s">
        <v>2154</v>
      </c>
      <c r="CB300" s="687">
        <v>0</v>
      </c>
      <c r="CC300" s="687">
        <v>1</v>
      </c>
      <c r="CD300" s="687">
        <v>1</v>
      </c>
      <c r="CE300" s="687"/>
      <c r="CF300" s="687" t="s">
        <v>1481</v>
      </c>
      <c r="CG300" s="558" t="s">
        <v>2155</v>
      </c>
      <c r="CH300" s="544">
        <v>0</v>
      </c>
      <c r="CJ300" s="558">
        <v>0</v>
      </c>
      <c r="CK300" s="558">
        <v>0</v>
      </c>
      <c r="CL300" s="558">
        <v>0</v>
      </c>
      <c r="CP300" s="564"/>
      <c r="CQ300" s="564"/>
      <c r="CR300" s="566">
        <v>37314</v>
      </c>
      <c r="CS300" s="566">
        <v>37343</v>
      </c>
      <c r="CT300" s="565">
        <v>21</v>
      </c>
      <c r="CU300" s="566">
        <v>44230</v>
      </c>
      <c r="CV300" s="628">
        <v>0</v>
      </c>
      <c r="CW300" s="566"/>
      <c r="CX300" s="628">
        <v>0</v>
      </c>
      <c r="CY300" s="628">
        <v>0</v>
      </c>
      <c r="CZ300" s="628">
        <v>0</v>
      </c>
      <c r="DA300" s="566"/>
      <c r="DB300" s="628">
        <v>0</v>
      </c>
      <c r="DC300" s="566"/>
      <c r="DD300" s="628">
        <v>0</v>
      </c>
      <c r="DE300" s="566"/>
      <c r="DF300" s="628">
        <v>0</v>
      </c>
      <c r="DG300" s="566"/>
      <c r="DH300" s="540"/>
      <c r="DI300" s="571"/>
      <c r="DJ300" s="558">
        <v>0</v>
      </c>
      <c r="DK300" s="572"/>
      <c r="DL300" s="558"/>
      <c r="DM300" s="558"/>
      <c r="DN300" s="571"/>
      <c r="DO300" s="571"/>
      <c r="DP300" s="571"/>
      <c r="DQ300" s="571"/>
      <c r="DR300" s="571"/>
      <c r="DS300" s="571"/>
      <c r="DT300" s="571"/>
      <c r="DU300" s="571"/>
      <c r="DV300" s="571" t="b">
        <v>0</v>
      </c>
      <c r="DW300" s="571"/>
      <c r="DX300" s="571"/>
      <c r="DY300" s="571"/>
      <c r="DZ300" s="571"/>
      <c r="EA300" s="571"/>
      <c r="EB300" s="571"/>
      <c r="EC300" s="571"/>
      <c r="ED300" s="571"/>
      <c r="EE300" s="571"/>
      <c r="EF300" s="571"/>
      <c r="EG300" s="571" t="s">
        <v>1160</v>
      </c>
      <c r="EH300" s="571"/>
      <c r="EI300" s="571"/>
    </row>
    <row r="301" spans="1:139" s="544" customFormat="1" ht="39.75" customHeight="1">
      <c r="A301" s="539">
        <v>616</v>
      </c>
      <c r="B301" s="623">
        <v>37316</v>
      </c>
      <c r="C301" s="541">
        <v>37316.541666666664</v>
      </c>
      <c r="D301" s="624">
        <v>11266865</v>
      </c>
      <c r="E301" s="625" t="s">
        <v>1325</v>
      </c>
      <c r="F301" s="544" t="b">
        <v>1</v>
      </c>
      <c r="H301" s="571" t="s">
        <v>441</v>
      </c>
      <c r="I301" s="626">
        <v>23199</v>
      </c>
      <c r="J301" s="627">
        <v>38.676712328767124</v>
      </c>
      <c r="K301" s="546">
        <v>464.0696909927679</v>
      </c>
      <c r="L301" s="608" t="s">
        <v>493</v>
      </c>
      <c r="M301" s="603" t="s">
        <v>1326</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673">
        <v>0</v>
      </c>
      <c r="AK301" s="552">
        <f t="shared" si="8"/>
        <v>0</v>
      </c>
      <c r="AL301" s="674"/>
      <c r="AM301" s="671">
        <v>37314</v>
      </c>
      <c r="AN301" s="549" t="s">
        <v>1598</v>
      </c>
      <c r="AO301" s="555"/>
      <c r="AP301" s="608" t="s">
        <v>1517</v>
      </c>
      <c r="AQ301" s="671">
        <v>37318</v>
      </c>
      <c r="AR301" s="608">
        <v>1</v>
      </c>
      <c r="AS301" s="608" t="s">
        <v>2156</v>
      </c>
      <c r="AT301" s="673">
        <v>0</v>
      </c>
      <c r="AU301" s="608">
        <v>1</v>
      </c>
      <c r="AV301" s="608">
        <v>0</v>
      </c>
      <c r="AW301" s="608">
        <v>0</v>
      </c>
      <c r="AX301" s="574" t="s">
        <v>1327</v>
      </c>
      <c r="AY301" s="608"/>
      <c r="AZ301" s="608" t="s">
        <v>1503</v>
      </c>
      <c r="BA301" s="544">
        <v>0</v>
      </c>
      <c r="BB301" s="558">
        <v>1</v>
      </c>
      <c r="BC301" s="558">
        <v>4</v>
      </c>
      <c r="BD301" s="558">
        <v>0</v>
      </c>
      <c r="BE301" s="558">
        <v>0</v>
      </c>
      <c r="BF301" s="559">
        <v>0</v>
      </c>
      <c r="BG301" s="771">
        <v>1</v>
      </c>
      <c r="BH301" s="771" t="s">
        <v>2192</v>
      </c>
      <c r="BI301" s="675">
        <v>0</v>
      </c>
      <c r="BJ301" s="608"/>
      <c r="BK301" s="608">
        <v>0</v>
      </c>
      <c r="BL301" s="608"/>
      <c r="BM301" s="608">
        <v>0</v>
      </c>
      <c r="BN301" s="608"/>
      <c r="BO301" s="608">
        <v>0</v>
      </c>
      <c r="BP301" s="608">
        <v>0</v>
      </c>
      <c r="BQ301" s="608">
        <v>0</v>
      </c>
      <c r="BR301" s="608">
        <v>0</v>
      </c>
      <c r="BS301" s="676">
        <v>0</v>
      </c>
      <c r="BT301" s="560">
        <v>1</v>
      </c>
      <c r="BU301" s="561" t="s">
        <v>2153</v>
      </c>
      <c r="BV301" s="561">
        <v>0</v>
      </c>
      <c r="BW301" s="561">
        <v>0</v>
      </c>
      <c r="BX301" s="608">
        <v>0</v>
      </c>
      <c r="BY301" s="608"/>
      <c r="BZ301" s="608"/>
      <c r="CA301" s="608"/>
      <c r="CB301" s="608">
        <v>0</v>
      </c>
      <c r="CC301" s="608">
        <v>0</v>
      </c>
      <c r="CD301" s="608">
        <v>0</v>
      </c>
      <c r="CE301" s="608"/>
      <c r="CF301" s="608"/>
      <c r="CG301" s="608"/>
      <c r="CH301" s="608">
        <v>0</v>
      </c>
      <c r="CI301" s="596"/>
      <c r="CJ301" s="558">
        <v>0</v>
      </c>
      <c r="CK301" s="558">
        <v>0</v>
      </c>
      <c r="CL301" s="558">
        <v>0</v>
      </c>
      <c r="CP301" s="564"/>
      <c r="CQ301" s="564"/>
      <c r="CR301" s="566">
        <v>37314</v>
      </c>
      <c r="CS301" s="566">
        <v>37331</v>
      </c>
      <c r="CT301" s="565">
        <v>15</v>
      </c>
      <c r="CU301" s="566">
        <v>44282</v>
      </c>
      <c r="CV301" s="628">
        <v>0</v>
      </c>
      <c r="CW301" s="566"/>
      <c r="CX301" s="628">
        <v>0</v>
      </c>
      <c r="CY301" s="628">
        <v>0</v>
      </c>
      <c r="CZ301" s="628">
        <v>0</v>
      </c>
      <c r="DA301" s="566"/>
      <c r="DB301" s="628">
        <v>0</v>
      </c>
      <c r="DC301" s="566"/>
      <c r="DD301" s="628">
        <v>0</v>
      </c>
      <c r="DE301" s="566"/>
      <c r="DF301" s="628">
        <v>0</v>
      </c>
      <c r="DG301" s="566"/>
      <c r="DH301" s="566"/>
      <c r="DI301" s="571"/>
      <c r="DJ301" s="558">
        <v>0</v>
      </c>
      <c r="DK301" s="572"/>
      <c r="DL301" s="558"/>
      <c r="DM301" s="558"/>
      <c r="DN301" s="571"/>
      <c r="DO301" s="571"/>
      <c r="DP301" s="571"/>
      <c r="DQ301" s="571"/>
      <c r="DR301" s="571"/>
      <c r="DS301" s="571"/>
      <c r="DT301" s="571"/>
      <c r="DU301" s="571" t="s">
        <v>1160</v>
      </c>
      <c r="DV301" s="571" t="b">
        <v>0</v>
      </c>
      <c r="DW301" s="571"/>
      <c r="DX301" s="571"/>
      <c r="DY301" s="571"/>
      <c r="DZ301" s="571"/>
      <c r="EA301" s="571"/>
      <c r="EB301" s="571"/>
      <c r="EC301" s="571"/>
      <c r="ED301" s="571"/>
      <c r="EE301" s="571"/>
      <c r="EF301" s="571"/>
      <c r="EG301" s="571" t="s">
        <v>1160</v>
      </c>
      <c r="EH301" s="571"/>
      <c r="EI301" s="571"/>
    </row>
    <row r="302" spans="1:139" s="48" customFormat="1" ht="39.75" customHeight="1">
      <c r="A302" s="60">
        <v>618</v>
      </c>
      <c r="B302" s="149">
        <v>37276</v>
      </c>
      <c r="C302" s="62">
        <v>37276.388888888891</v>
      </c>
      <c r="D302" s="150">
        <v>9510480</v>
      </c>
      <c r="E302" s="151" t="s">
        <v>1328</v>
      </c>
      <c r="F302" s="48" t="b">
        <v>0</v>
      </c>
      <c r="G302" s="48" t="s">
        <v>2157</v>
      </c>
      <c r="H302" s="143" t="s">
        <v>441</v>
      </c>
      <c r="I302" s="152">
        <v>26316</v>
      </c>
      <c r="J302" s="153">
        <v>30.027397260273972</v>
      </c>
      <c r="K302" s="85">
        <v>360.2892833662064</v>
      </c>
      <c r="L302" s="143" t="s">
        <v>493</v>
      </c>
      <c r="M302" s="688" t="s">
        <v>1329</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690"/>
      <c r="AK302" s="324">
        <f t="shared" si="8"/>
        <v>0</v>
      </c>
      <c r="AL302" s="688"/>
      <c r="AM302" s="691"/>
      <c r="AN302" s="160"/>
      <c r="AO302" s="61"/>
      <c r="AP302" s="82"/>
      <c r="AQ302" s="691"/>
      <c r="AR302" s="160"/>
      <c r="AS302" s="160"/>
      <c r="AT302" s="690"/>
      <c r="AU302" s="160"/>
      <c r="AV302" s="160"/>
      <c r="AW302" s="160"/>
      <c r="AX302" s="138" t="s">
        <v>1330</v>
      </c>
      <c r="AY302" s="160"/>
      <c r="AZ302" s="160"/>
      <c r="BB302" s="82"/>
      <c r="BC302" s="82"/>
      <c r="BD302" s="82"/>
      <c r="BE302" s="82"/>
      <c r="BF302" s="235"/>
      <c r="BG302" s="767"/>
      <c r="BH302" s="767"/>
      <c r="BI302" s="230"/>
      <c r="BJ302" s="160"/>
      <c r="BK302" s="160"/>
      <c r="BL302" s="160"/>
      <c r="BM302" s="160"/>
      <c r="BN302" s="160"/>
      <c r="BO302" s="160"/>
      <c r="BP302" s="160"/>
      <c r="BQ302" s="160"/>
      <c r="BR302" s="160"/>
      <c r="BS302" s="250"/>
      <c r="BT302" s="230" t="s">
        <v>473</v>
      </c>
      <c r="BU302" s="160"/>
      <c r="BV302" s="160"/>
      <c r="BW302" s="160"/>
      <c r="BX302" s="160"/>
      <c r="BY302" s="160"/>
      <c r="BZ302" s="160"/>
      <c r="CA302" s="160"/>
      <c r="CB302" s="160"/>
      <c r="CC302" s="160"/>
      <c r="CD302" s="160"/>
      <c r="CE302" s="160"/>
      <c r="CF302" s="160"/>
      <c r="CG302" s="160"/>
      <c r="CH302" s="160"/>
      <c r="CI302" s="160"/>
      <c r="CJ302" s="82">
        <v>0</v>
      </c>
      <c r="CK302" s="82">
        <v>0</v>
      </c>
      <c r="CL302" s="160"/>
      <c r="CP302" s="505"/>
      <c r="CQ302" s="505"/>
      <c r="CR302" s="84">
        <v>37268</v>
      </c>
      <c r="CS302" s="84">
        <v>37322</v>
      </c>
      <c r="CT302" s="83">
        <v>46</v>
      </c>
      <c r="CU302" s="84"/>
      <c r="CV302" s="154"/>
      <c r="CW302" s="84"/>
      <c r="CX302" s="154"/>
      <c r="CY302" s="154"/>
      <c r="CZ302" s="154"/>
      <c r="DA302" s="84"/>
      <c r="DB302" s="154"/>
      <c r="DC302" s="84"/>
      <c r="DD302" s="154"/>
      <c r="DE302" s="84"/>
      <c r="DF302" s="154"/>
      <c r="DG302" s="84"/>
      <c r="DH302" s="84"/>
      <c r="DI302" s="143"/>
      <c r="DJ302" s="82">
        <v>0</v>
      </c>
      <c r="DK302" s="155"/>
      <c r="DL302" s="82"/>
      <c r="DM302" s="82"/>
      <c r="DN302" s="143"/>
      <c r="DO302" s="143"/>
      <c r="DP302" s="143"/>
      <c r="DQ302" s="143"/>
      <c r="DR302" s="143"/>
      <c r="DS302" s="143"/>
      <c r="DT302" s="143"/>
      <c r="DU302" s="143" t="s">
        <v>1160</v>
      </c>
      <c r="DV302" s="143" t="b">
        <v>0</v>
      </c>
      <c r="DW302" s="143"/>
      <c r="DX302" s="143"/>
      <c r="DY302" s="143"/>
      <c r="DZ302" s="143"/>
      <c r="EA302" s="143"/>
      <c r="EB302" s="143"/>
      <c r="EC302" s="143"/>
      <c r="ED302" s="143"/>
      <c r="EE302" s="143"/>
      <c r="EF302" s="143"/>
      <c r="EG302" s="143" t="s">
        <v>1160</v>
      </c>
      <c r="EH302" s="143"/>
      <c r="EI302" s="143"/>
    </row>
    <row r="303" spans="1:139" s="48" customFormat="1" ht="39.75" customHeight="1">
      <c r="A303" s="60">
        <v>621</v>
      </c>
      <c r="B303" s="149">
        <v>37190</v>
      </c>
      <c r="C303" s="62">
        <v>37190.9375</v>
      </c>
      <c r="D303" s="150">
        <v>10618926</v>
      </c>
      <c r="E303" s="151" t="s">
        <v>1331</v>
      </c>
      <c r="F303" s="48" t="b">
        <v>0</v>
      </c>
      <c r="G303" s="48" t="s">
        <v>1674</v>
      </c>
      <c r="H303" s="143" t="s">
        <v>441</v>
      </c>
      <c r="I303" s="152">
        <v>24845</v>
      </c>
      <c r="J303" s="153">
        <v>33.821917808219176</v>
      </c>
      <c r="K303" s="85">
        <v>405.81854043392502</v>
      </c>
      <c r="L303" s="145" t="s">
        <v>1228</v>
      </c>
      <c r="M303" s="617" t="s">
        <v>1332</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694"/>
      <c r="AK303" s="324">
        <f t="shared" si="8"/>
        <v>0</v>
      </c>
      <c r="AL303" s="695"/>
      <c r="AM303" s="692"/>
      <c r="AN303" s="145"/>
      <c r="AO303" s="61"/>
      <c r="AP303" s="145"/>
      <c r="AQ303" s="692"/>
      <c r="AR303" s="145"/>
      <c r="AS303" s="145"/>
      <c r="AT303" s="694"/>
      <c r="AU303" s="145">
        <v>1</v>
      </c>
      <c r="AV303" s="145"/>
      <c r="AW303" s="145"/>
      <c r="AX303" s="82" t="s">
        <v>1334</v>
      </c>
      <c r="AY303" s="145"/>
      <c r="AZ303" s="145" t="s">
        <v>1503</v>
      </c>
      <c r="BB303" s="82"/>
      <c r="BC303" s="82"/>
      <c r="BD303" s="82"/>
      <c r="BE303" s="82"/>
      <c r="BF303" s="235"/>
      <c r="BG303" s="767"/>
      <c r="BH303" s="767"/>
      <c r="BI303" s="696"/>
      <c r="BJ303" s="145"/>
      <c r="BK303" s="145"/>
      <c r="BL303" s="145"/>
      <c r="BM303" s="145"/>
      <c r="BN303" s="145"/>
      <c r="BO303" s="145"/>
      <c r="BP303" s="145"/>
      <c r="BQ303" s="145"/>
      <c r="BR303" s="145"/>
      <c r="BS303" s="697"/>
      <c r="BT303" s="228" t="s">
        <v>1333</v>
      </c>
      <c r="BU303" s="138"/>
      <c r="BV303" s="138"/>
      <c r="BW303" s="138"/>
      <c r="BX303" s="145"/>
      <c r="BY303" s="145"/>
      <c r="BZ303" s="145"/>
      <c r="CA303" s="145"/>
      <c r="CB303" s="145"/>
      <c r="CC303" s="145"/>
      <c r="CD303" s="145"/>
      <c r="CE303" s="145"/>
      <c r="CF303" s="145"/>
      <c r="CG303" s="145"/>
      <c r="CH303" s="145"/>
      <c r="CI303" s="145"/>
      <c r="CJ303" s="82">
        <v>0</v>
      </c>
      <c r="CK303" s="145">
        <v>1</v>
      </c>
      <c r="CL303" s="82"/>
      <c r="CP303" s="505"/>
      <c r="CQ303" s="505"/>
      <c r="CR303" s="84">
        <v>37182</v>
      </c>
      <c r="CS303" s="84">
        <v>37199</v>
      </c>
      <c r="CT303" s="83">
        <v>9</v>
      </c>
      <c r="CU303" s="84"/>
      <c r="CV303" s="154"/>
      <c r="CW303" s="84"/>
      <c r="CX303" s="154"/>
      <c r="CY303" s="154"/>
      <c r="CZ303" s="154"/>
      <c r="DA303" s="84"/>
      <c r="DB303" s="154"/>
      <c r="DC303" s="84"/>
      <c r="DD303" s="154"/>
      <c r="DE303" s="84"/>
      <c r="DF303" s="154"/>
      <c r="DG303" s="84"/>
      <c r="DH303" s="84"/>
      <c r="DI303" s="143"/>
      <c r="DJ303" s="82">
        <v>0</v>
      </c>
      <c r="DK303" s="155"/>
      <c r="DL303" s="82"/>
      <c r="DM303" s="82"/>
      <c r="DN303" s="143"/>
      <c r="DO303" s="143"/>
      <c r="DP303" s="143"/>
      <c r="DQ303" s="143"/>
      <c r="DR303" s="143"/>
      <c r="DS303" s="143"/>
      <c r="DT303" s="143"/>
      <c r="DU303" s="143" t="s">
        <v>1160</v>
      </c>
      <c r="DV303" s="143" t="b">
        <v>0</v>
      </c>
      <c r="DW303" s="143"/>
      <c r="DX303" s="143"/>
      <c r="DY303" s="143"/>
      <c r="DZ303" s="143"/>
      <c r="EA303" s="143"/>
      <c r="EB303" s="143"/>
      <c r="EC303" s="143"/>
      <c r="ED303" s="143"/>
      <c r="EE303" s="143"/>
      <c r="EF303" s="143"/>
      <c r="EG303" s="143" t="s">
        <v>1160</v>
      </c>
      <c r="EH303" s="143"/>
      <c r="EI303" s="143"/>
    </row>
    <row r="304" spans="1:139" s="544" customFormat="1" ht="39.75" customHeight="1">
      <c r="A304" s="539">
        <v>622</v>
      </c>
      <c r="B304" s="623">
        <v>37188</v>
      </c>
      <c r="C304" s="541">
        <v>37188.388888888891</v>
      </c>
      <c r="D304" s="624">
        <v>6198056</v>
      </c>
      <c r="E304" s="625" t="s">
        <v>1335</v>
      </c>
      <c r="F304" s="544" t="b">
        <v>1</v>
      </c>
      <c r="H304" s="571" t="s">
        <v>418</v>
      </c>
      <c r="I304" s="626">
        <v>30015</v>
      </c>
      <c r="J304" s="627">
        <v>19.652054794520549</v>
      </c>
      <c r="K304" s="546">
        <v>235.79881656804733</v>
      </c>
      <c r="L304" s="571" t="s">
        <v>493</v>
      </c>
      <c r="M304" s="685" t="s">
        <v>1336</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v>1</v>
      </c>
      <c r="AK304" s="552">
        <f t="shared" si="8"/>
        <v>0</v>
      </c>
      <c r="AL304" s="553" t="s">
        <v>1337</v>
      </c>
      <c r="AM304" s="554">
        <v>37187</v>
      </c>
      <c r="AN304" s="549" t="s">
        <v>2158</v>
      </c>
      <c r="AO304" s="555"/>
      <c r="AP304" s="539" t="s">
        <v>223</v>
      </c>
      <c r="AQ304" s="554"/>
      <c r="AR304" s="549">
        <v>0</v>
      </c>
      <c r="AS304" s="549"/>
      <c r="AT304" s="552">
        <v>0</v>
      </c>
      <c r="AU304" s="549">
        <v>0</v>
      </c>
      <c r="AV304" s="549">
        <v>0</v>
      </c>
      <c r="AW304" s="549">
        <v>1</v>
      </c>
      <c r="AX304" s="580" t="s">
        <v>1339</v>
      </c>
      <c r="AY304" s="558"/>
      <c r="AZ304" s="558" t="s">
        <v>1481</v>
      </c>
      <c r="BA304" s="544">
        <v>0</v>
      </c>
      <c r="BB304" s="558">
        <v>1</v>
      </c>
      <c r="BC304" s="558">
        <v>15</v>
      </c>
      <c r="BD304" s="558">
        <v>1</v>
      </c>
      <c r="BE304" s="558">
        <v>1</v>
      </c>
      <c r="BF304" s="559">
        <v>0</v>
      </c>
      <c r="BG304" s="771">
        <v>0</v>
      </c>
      <c r="BH304" s="771"/>
      <c r="BI304" s="579">
        <v>1</v>
      </c>
      <c r="BJ304" s="558"/>
      <c r="BK304" s="558">
        <v>0</v>
      </c>
      <c r="BL304" s="558"/>
      <c r="BM304" s="580">
        <v>1</v>
      </c>
      <c r="BN304" s="580" t="s">
        <v>1338</v>
      </c>
      <c r="BO304" s="580">
        <v>0</v>
      </c>
      <c r="BP304" s="580">
        <v>0</v>
      </c>
      <c r="BQ304" s="580">
        <v>0</v>
      </c>
      <c r="BR304" s="580">
        <v>1</v>
      </c>
      <c r="BS304" s="559">
        <v>1</v>
      </c>
      <c r="BT304" s="579">
        <v>0</v>
      </c>
      <c r="BU304" s="558"/>
      <c r="BV304" s="558">
        <v>0</v>
      </c>
      <c r="BW304" s="558">
        <v>0</v>
      </c>
      <c r="BX304" s="558">
        <v>0</v>
      </c>
      <c r="BY304" s="558"/>
      <c r="BZ304" s="558"/>
      <c r="CA304" s="557"/>
      <c r="CB304" s="687">
        <v>0</v>
      </c>
      <c r="CC304" s="687">
        <v>0</v>
      </c>
      <c r="CD304" s="687">
        <v>0</v>
      </c>
      <c r="CE304" s="687"/>
      <c r="CF304" s="687"/>
      <c r="CG304" s="558"/>
      <c r="CH304" s="558">
        <v>1</v>
      </c>
      <c r="CI304" s="558" t="s">
        <v>2159</v>
      </c>
      <c r="CJ304" s="558">
        <v>0</v>
      </c>
      <c r="CK304" s="558">
        <v>0</v>
      </c>
      <c r="CL304" s="558">
        <v>0</v>
      </c>
      <c r="CP304" s="564"/>
      <c r="CQ304" s="564"/>
      <c r="CR304" s="566">
        <v>37174</v>
      </c>
      <c r="CS304" s="566">
        <v>37242</v>
      </c>
      <c r="CT304" s="565">
        <v>54</v>
      </c>
      <c r="CU304" s="566">
        <v>37242</v>
      </c>
      <c r="CV304" s="628">
        <v>1</v>
      </c>
      <c r="CW304" s="566">
        <v>37242</v>
      </c>
      <c r="CX304" s="628">
        <v>1</v>
      </c>
      <c r="CY304" s="628">
        <v>0</v>
      </c>
      <c r="CZ304" s="628">
        <v>1</v>
      </c>
      <c r="DA304" s="566" t="s">
        <v>1340</v>
      </c>
      <c r="DB304" s="628">
        <v>0</v>
      </c>
      <c r="DC304" s="566"/>
      <c r="DD304" s="628">
        <v>0</v>
      </c>
      <c r="DE304" s="566"/>
      <c r="DF304" s="628">
        <v>0</v>
      </c>
      <c r="DG304" s="566"/>
      <c r="DH304" s="566"/>
      <c r="DI304" s="566"/>
      <c r="DJ304" s="558">
        <v>1</v>
      </c>
      <c r="DK304" s="572">
        <v>1.7751479289940828</v>
      </c>
      <c r="DL304" s="558"/>
      <c r="DM304" s="558" t="b">
        <v>1</v>
      </c>
      <c r="DN304" s="566">
        <v>37242</v>
      </c>
      <c r="DO304" s="566" t="s">
        <v>1341</v>
      </c>
      <c r="DP304" s="647" t="s">
        <v>1342</v>
      </c>
      <c r="DQ304" s="557" t="s">
        <v>1343</v>
      </c>
      <c r="DR304" s="571" t="s">
        <v>1344</v>
      </c>
      <c r="DS304" s="566"/>
      <c r="DT304" s="566"/>
      <c r="DU304" s="571"/>
      <c r="DV304" s="571" t="b">
        <v>0</v>
      </c>
      <c r="DW304" s="566"/>
      <c r="DX304" s="566"/>
      <c r="DY304" s="566"/>
      <c r="DZ304" s="566"/>
      <c r="EA304" s="566"/>
      <c r="EB304" s="566"/>
      <c r="EC304" s="566"/>
      <c r="ED304" s="566"/>
      <c r="EE304" s="566"/>
      <c r="EF304" s="566"/>
      <c r="EG304" s="571" t="s">
        <v>1160</v>
      </c>
      <c r="EH304" s="571"/>
      <c r="EI304" s="571"/>
    </row>
    <row r="305" spans="1:139" s="48" customFormat="1" ht="39.75" customHeight="1">
      <c r="A305" s="60">
        <v>623</v>
      </c>
      <c r="B305" s="149">
        <v>37184</v>
      </c>
      <c r="C305" s="62">
        <v>37184.458333333336</v>
      </c>
      <c r="D305" s="150">
        <v>10680035</v>
      </c>
      <c r="E305" s="151" t="s">
        <v>1345</v>
      </c>
      <c r="F305" s="48" t="b">
        <v>0</v>
      </c>
      <c r="G305" s="48" t="s">
        <v>1487</v>
      </c>
      <c r="H305" s="143" t="s">
        <v>441</v>
      </c>
      <c r="I305" s="152">
        <v>13615</v>
      </c>
      <c r="J305" s="153">
        <v>64.572602739726022</v>
      </c>
      <c r="K305" s="85">
        <v>774.78632478632471</v>
      </c>
      <c r="L305" s="143" t="s">
        <v>1228</v>
      </c>
      <c r="M305" s="688" t="s">
        <v>1346</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690"/>
      <c r="AK305" s="324">
        <f t="shared" si="8"/>
        <v>1</v>
      </c>
      <c r="AL305" s="688"/>
      <c r="AM305" s="691"/>
      <c r="AN305" s="160"/>
      <c r="AO305" s="61"/>
      <c r="AP305" s="82"/>
      <c r="AQ305" s="691"/>
      <c r="AR305" s="160"/>
      <c r="AS305" s="160"/>
      <c r="AT305" s="690"/>
      <c r="AU305" s="160"/>
      <c r="AV305" s="160"/>
      <c r="AW305" s="160"/>
      <c r="AX305" s="82" t="s">
        <v>1347</v>
      </c>
      <c r="AY305" s="160"/>
      <c r="AZ305" s="160">
        <v>1</v>
      </c>
      <c r="BB305" s="82"/>
      <c r="BC305" s="82"/>
      <c r="BD305" s="82"/>
      <c r="BE305" s="82"/>
      <c r="BF305" s="235"/>
      <c r="BG305" s="767"/>
      <c r="BH305" s="767"/>
      <c r="BI305" s="230"/>
      <c r="BJ305" s="160"/>
      <c r="BK305" s="160"/>
      <c r="BL305" s="160"/>
      <c r="BM305" s="160"/>
      <c r="BN305" s="160"/>
      <c r="BO305" s="160"/>
      <c r="BP305" s="160"/>
      <c r="BQ305" s="160"/>
      <c r="BR305" s="160"/>
      <c r="BS305" s="250"/>
      <c r="BT305" s="230" t="s">
        <v>174</v>
      </c>
      <c r="BU305" s="160"/>
      <c r="BV305" s="160"/>
      <c r="BW305" s="160"/>
      <c r="BX305" s="160"/>
      <c r="BY305" s="160"/>
      <c r="BZ305" s="160"/>
      <c r="CA305" s="160"/>
      <c r="CB305" s="160"/>
      <c r="CC305" s="160"/>
      <c r="CD305" s="160"/>
      <c r="CE305" s="160"/>
      <c r="CF305" s="160"/>
      <c r="CG305" s="160"/>
      <c r="CH305" s="143"/>
      <c r="CI305" s="143"/>
      <c r="CJ305" s="143">
        <v>1</v>
      </c>
      <c r="CK305" s="82">
        <v>0</v>
      </c>
      <c r="CL305" s="82"/>
      <c r="CP305" s="505"/>
      <c r="CQ305" s="505"/>
      <c r="CR305" s="84">
        <v>37183</v>
      </c>
      <c r="CS305" s="84">
        <v>37228</v>
      </c>
      <c r="CT305" s="83">
        <v>44</v>
      </c>
      <c r="CU305" s="84"/>
      <c r="CV305" s="154"/>
      <c r="CW305" s="84"/>
      <c r="CX305" s="154"/>
      <c r="CY305" s="154"/>
      <c r="CZ305" s="154"/>
      <c r="DA305" s="84"/>
      <c r="DB305" s="154"/>
      <c r="DC305" s="84"/>
      <c r="DD305" s="154"/>
      <c r="DE305" s="84"/>
      <c r="DF305" s="154"/>
      <c r="DG305" s="84"/>
      <c r="DH305" s="84"/>
      <c r="DI305" s="143"/>
      <c r="DJ305" s="82">
        <v>0</v>
      </c>
      <c r="DK305" s="155"/>
      <c r="DL305" s="82"/>
      <c r="DM305" s="82"/>
      <c r="DN305" s="143"/>
      <c r="DO305" s="143"/>
      <c r="DP305" s="143"/>
      <c r="DQ305" s="143"/>
      <c r="DR305" s="143"/>
      <c r="DS305" s="143"/>
      <c r="DT305" s="143"/>
      <c r="DU305" s="143"/>
      <c r="DV305" s="143" t="b">
        <v>0</v>
      </c>
      <c r="DW305" s="143"/>
      <c r="DX305" s="143"/>
      <c r="DY305" s="143"/>
      <c r="DZ305" s="143"/>
      <c r="EA305" s="143"/>
      <c r="EB305" s="143"/>
      <c r="EC305" s="143"/>
      <c r="ED305" s="143"/>
      <c r="EE305" s="143"/>
      <c r="EF305" s="143"/>
      <c r="EG305" s="143" t="s">
        <v>1160</v>
      </c>
      <c r="EH305" s="143"/>
      <c r="EI305" s="143"/>
    </row>
    <row r="306" spans="1:139" s="544" customFormat="1" ht="39.75" customHeight="1">
      <c r="A306" s="539">
        <v>625</v>
      </c>
      <c r="B306" s="623">
        <v>37179</v>
      </c>
      <c r="C306" s="541">
        <v>37179.291666666664</v>
      </c>
      <c r="D306" s="624">
        <v>10606772</v>
      </c>
      <c r="E306" s="625" t="s">
        <v>1348</v>
      </c>
      <c r="F306" s="544" t="b">
        <v>1</v>
      </c>
      <c r="H306" s="571" t="s">
        <v>441</v>
      </c>
      <c r="I306" s="626">
        <v>26755</v>
      </c>
      <c r="J306" s="627">
        <v>28.55890410958904</v>
      </c>
      <c r="K306" s="546">
        <v>342.66929651545036</v>
      </c>
      <c r="L306" s="608" t="s">
        <v>493</v>
      </c>
      <c r="M306" s="603" t="s">
        <v>1349</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673">
        <v>0</v>
      </c>
      <c r="AK306" s="552">
        <f t="shared" si="8"/>
        <v>0</v>
      </c>
      <c r="AL306" s="674"/>
      <c r="AM306" s="671">
        <v>37145</v>
      </c>
      <c r="AN306" s="608" t="s">
        <v>1598</v>
      </c>
      <c r="AO306" s="555">
        <v>37197</v>
      </c>
      <c r="AP306" s="608" t="s">
        <v>2007</v>
      </c>
      <c r="AQ306" s="671">
        <v>37143</v>
      </c>
      <c r="AR306" s="608">
        <v>0</v>
      </c>
      <c r="AS306" s="608"/>
      <c r="AT306" s="673">
        <v>0</v>
      </c>
      <c r="AU306" s="608">
        <v>1</v>
      </c>
      <c r="AV306" s="608">
        <v>0</v>
      </c>
      <c r="AW306" s="608">
        <v>0</v>
      </c>
      <c r="AX306" s="558" t="s">
        <v>1350</v>
      </c>
      <c r="AY306" s="608"/>
      <c r="AZ306" s="608" t="s">
        <v>1503</v>
      </c>
      <c r="BA306" s="544">
        <v>0</v>
      </c>
      <c r="BB306" s="558">
        <v>1</v>
      </c>
      <c r="BC306" s="558"/>
      <c r="BD306" s="558">
        <v>0</v>
      </c>
      <c r="BE306" s="558">
        <v>0</v>
      </c>
      <c r="BF306" s="559">
        <v>1</v>
      </c>
      <c r="BG306" s="771">
        <v>0</v>
      </c>
      <c r="BH306" s="771"/>
      <c r="BI306" s="675">
        <v>0</v>
      </c>
      <c r="BJ306" s="608"/>
      <c r="BK306" s="608">
        <v>0</v>
      </c>
      <c r="BL306" s="608"/>
      <c r="BM306" s="608">
        <v>0</v>
      </c>
      <c r="BN306" s="608"/>
      <c r="BO306" s="608">
        <v>0</v>
      </c>
      <c r="BP306" s="608">
        <v>0</v>
      </c>
      <c r="BQ306" s="608">
        <v>0</v>
      </c>
      <c r="BR306" s="608">
        <v>0</v>
      </c>
      <c r="BS306" s="676">
        <v>0</v>
      </c>
      <c r="BT306" s="675">
        <v>1</v>
      </c>
      <c r="BU306" s="558" t="s">
        <v>2160</v>
      </c>
      <c r="BV306" s="608">
        <v>0</v>
      </c>
      <c r="BW306" s="608">
        <v>0</v>
      </c>
      <c r="BX306" s="608">
        <v>0</v>
      </c>
      <c r="BY306" s="608"/>
      <c r="BZ306" s="608"/>
      <c r="CA306" s="608"/>
      <c r="CB306" s="608">
        <v>0</v>
      </c>
      <c r="CC306" s="608">
        <v>0</v>
      </c>
      <c r="CD306" s="608">
        <v>0</v>
      </c>
      <c r="CE306" s="608"/>
      <c r="CF306" s="608"/>
      <c r="CG306" s="608"/>
      <c r="CH306" s="608">
        <v>0</v>
      </c>
      <c r="CI306" s="608"/>
      <c r="CJ306" s="558">
        <v>0</v>
      </c>
      <c r="CK306" s="558">
        <v>0</v>
      </c>
      <c r="CL306" s="608">
        <v>0</v>
      </c>
      <c r="CP306" s="564"/>
      <c r="CQ306" s="564"/>
      <c r="CR306" s="566">
        <v>37168</v>
      </c>
      <c r="CS306" s="566">
        <v>37201</v>
      </c>
      <c r="CT306" s="565">
        <v>22</v>
      </c>
      <c r="CU306" s="566">
        <v>44327</v>
      </c>
      <c r="CV306" s="628">
        <v>0</v>
      </c>
      <c r="CW306" s="566"/>
      <c r="CX306" s="628">
        <v>0</v>
      </c>
      <c r="CY306" s="628">
        <v>0</v>
      </c>
      <c r="CZ306" s="628">
        <v>0</v>
      </c>
      <c r="DA306" s="566"/>
      <c r="DB306" s="628">
        <v>0</v>
      </c>
      <c r="DC306" s="566"/>
      <c r="DD306" s="628">
        <v>0</v>
      </c>
      <c r="DE306" s="566"/>
      <c r="DF306" s="628">
        <v>1</v>
      </c>
      <c r="DG306" s="566">
        <v>41851</v>
      </c>
      <c r="DH306" s="566" t="s">
        <v>2161</v>
      </c>
      <c r="DI306" s="571"/>
      <c r="DJ306" s="558">
        <v>0</v>
      </c>
      <c r="DK306" s="572"/>
      <c r="DL306" s="558"/>
      <c r="DM306" s="558"/>
      <c r="DN306" s="571"/>
      <c r="DO306" s="571"/>
      <c r="DP306" s="571"/>
      <c r="DQ306" s="571"/>
      <c r="DR306" s="571"/>
      <c r="DS306" s="571"/>
      <c r="DT306" s="571"/>
      <c r="DU306" s="571" t="s">
        <v>1160</v>
      </c>
      <c r="DV306" s="571" t="b">
        <v>0</v>
      </c>
      <c r="DW306" s="566">
        <v>37195</v>
      </c>
      <c r="DX306" s="571" t="s">
        <v>1351</v>
      </c>
      <c r="DY306" s="571" t="s">
        <v>1352</v>
      </c>
      <c r="DZ306" s="571"/>
      <c r="EA306" s="571"/>
      <c r="EB306" s="571"/>
      <c r="EC306" s="571"/>
      <c r="ED306" s="571"/>
      <c r="EE306" s="571"/>
      <c r="EF306" s="571"/>
      <c r="EG306" s="571" t="s">
        <v>1160</v>
      </c>
      <c r="EH306" s="571"/>
      <c r="EI306" s="571"/>
    </row>
    <row r="307" spans="1:139" s="48" customFormat="1" ht="39.75" customHeight="1">
      <c r="A307" s="60">
        <v>626</v>
      </c>
      <c r="B307" s="149">
        <v>37139</v>
      </c>
      <c r="C307" s="62">
        <v>37139.506944444445</v>
      </c>
      <c r="D307" s="150">
        <v>10436559</v>
      </c>
      <c r="E307" s="151" t="s">
        <v>1353</v>
      </c>
      <c r="F307" s="48" t="b">
        <v>0</v>
      </c>
      <c r="G307" s="48" t="s">
        <v>1487</v>
      </c>
      <c r="H307" s="143" t="s">
        <v>418</v>
      </c>
      <c r="I307" s="152">
        <v>17442</v>
      </c>
      <c r="J307" s="153">
        <v>53.964383561643835</v>
      </c>
      <c r="K307" s="85">
        <v>647.50164365548983</v>
      </c>
      <c r="L307" s="143" t="s">
        <v>493</v>
      </c>
      <c r="M307" s="698" t="s">
        <v>1354</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701"/>
      <c r="AK307" s="324">
        <f t="shared" si="8"/>
        <v>0</v>
      </c>
      <c r="AL307" s="698"/>
      <c r="AM307" s="702"/>
      <c r="AN307" s="699"/>
      <c r="AO307" s="61"/>
      <c r="AP307" s="703"/>
      <c r="AQ307" s="702"/>
      <c r="AR307" s="699"/>
      <c r="AS307" s="699"/>
      <c r="AT307" s="701"/>
      <c r="AU307" s="699"/>
      <c r="AV307" s="699"/>
      <c r="AW307" s="699"/>
      <c r="AX307" s="704" t="s">
        <v>1355</v>
      </c>
      <c r="AY307" s="699"/>
      <c r="AZ307" s="699">
        <v>1</v>
      </c>
      <c r="BB307" s="82"/>
      <c r="BC307" s="82"/>
      <c r="BD307" s="82"/>
      <c r="BE307" s="82"/>
      <c r="BF307" s="235"/>
      <c r="BG307" s="767"/>
      <c r="BH307" s="767"/>
      <c r="BI307" s="705"/>
      <c r="BJ307" s="699"/>
      <c r="BK307" s="699"/>
      <c r="BL307" s="699"/>
      <c r="BM307" s="699"/>
      <c r="BN307" s="699"/>
      <c r="BO307" s="699"/>
      <c r="BP307" s="699"/>
      <c r="BQ307" s="699"/>
      <c r="BR307" s="699"/>
      <c r="BS307" s="706"/>
      <c r="BT307" s="705" t="s">
        <v>213</v>
      </c>
      <c r="BU307" s="699"/>
      <c r="BV307" s="699"/>
      <c r="BW307" s="699"/>
      <c r="BX307" s="699"/>
      <c r="BY307" s="699"/>
      <c r="BZ307" s="699"/>
      <c r="CA307" s="699"/>
      <c r="CB307" s="699"/>
      <c r="CC307" s="699"/>
      <c r="CD307" s="699"/>
      <c r="CE307" s="699"/>
      <c r="CF307" s="699">
        <v>1</v>
      </c>
      <c r="CG307" s="699"/>
      <c r="CH307" s="699"/>
      <c r="CI307" s="699"/>
      <c r="CJ307" s="82">
        <v>0</v>
      </c>
      <c r="CK307" s="145">
        <v>1</v>
      </c>
      <c r="CL307" s="699"/>
      <c r="CP307" s="505"/>
      <c r="CQ307" s="505"/>
      <c r="CR307" s="84">
        <v>37131</v>
      </c>
      <c r="CS307" s="84">
        <v>37176</v>
      </c>
      <c r="CT307" s="83">
        <v>37</v>
      </c>
      <c r="CU307" s="84"/>
      <c r="CV307" s="154"/>
      <c r="CW307" s="84"/>
      <c r="CX307" s="154"/>
      <c r="CY307" s="154"/>
      <c r="CZ307" s="154"/>
      <c r="DA307" s="84"/>
      <c r="DB307" s="154"/>
      <c r="DC307" s="84"/>
      <c r="DD307" s="154"/>
      <c r="DE307" s="84"/>
      <c r="DF307" s="154"/>
      <c r="DG307" s="84"/>
      <c r="DH307" s="84"/>
      <c r="DI307" s="143"/>
      <c r="DJ307" s="82">
        <v>0</v>
      </c>
      <c r="DK307" s="155"/>
      <c r="DL307" s="82"/>
      <c r="DM307" s="82"/>
      <c r="DN307" s="143"/>
      <c r="DO307" s="143"/>
      <c r="DP307" s="143"/>
      <c r="DQ307" s="143"/>
      <c r="DR307" s="143"/>
      <c r="DS307" s="143"/>
      <c r="DT307" s="143"/>
      <c r="DU307" s="143"/>
      <c r="DV307" s="143" t="b">
        <v>0</v>
      </c>
      <c r="DW307" s="143"/>
      <c r="DX307" s="143"/>
      <c r="DY307" s="143"/>
      <c r="DZ307" s="143"/>
      <c r="EA307" s="143"/>
      <c r="EB307" s="143"/>
      <c r="EC307" s="143"/>
      <c r="ED307" s="143"/>
      <c r="EE307" s="143"/>
      <c r="EF307" s="143"/>
      <c r="EG307" s="143" t="s">
        <v>1160</v>
      </c>
      <c r="EH307" s="143"/>
      <c r="EI307" s="143"/>
    </row>
    <row r="308" spans="1:139" s="544" customFormat="1" ht="39.75" customHeight="1">
      <c r="A308" s="539">
        <v>628</v>
      </c>
      <c r="B308" s="623">
        <v>37106</v>
      </c>
      <c r="C308" s="541">
        <v>37106.284722222219</v>
      </c>
      <c r="D308" s="624">
        <v>10252713</v>
      </c>
      <c r="E308" s="625" t="s">
        <v>1356</v>
      </c>
      <c r="F308" s="544" t="b">
        <v>1</v>
      </c>
      <c r="H308" s="571" t="s">
        <v>418</v>
      </c>
      <c r="I308" s="626">
        <v>15619</v>
      </c>
      <c r="J308" s="627">
        <v>58.868493150684934</v>
      </c>
      <c r="K308" s="546">
        <v>706.34451019066398</v>
      </c>
      <c r="L308" s="608" t="s">
        <v>1228</v>
      </c>
      <c r="M308" s="603" t="s">
        <v>1357</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673">
        <v>1</v>
      </c>
      <c r="AK308" s="552">
        <f t="shared" si="8"/>
        <v>0</v>
      </c>
      <c r="AL308" s="674" t="s">
        <v>2162</v>
      </c>
      <c r="AM308" s="671">
        <v>37082</v>
      </c>
      <c r="AN308" s="608" t="s">
        <v>1598</v>
      </c>
      <c r="AO308" s="555">
        <v>37119</v>
      </c>
      <c r="AP308" s="608" t="s">
        <v>2164</v>
      </c>
      <c r="AQ308" s="671">
        <v>37073</v>
      </c>
      <c r="AR308" s="608">
        <v>1</v>
      </c>
      <c r="AS308" s="608" t="s">
        <v>1518</v>
      </c>
      <c r="AT308" s="673">
        <v>0</v>
      </c>
      <c r="AU308" s="608">
        <v>1</v>
      </c>
      <c r="AV308" s="608">
        <v>0</v>
      </c>
      <c r="AW308" s="608">
        <v>1</v>
      </c>
      <c r="AX308" s="558" t="s">
        <v>1358</v>
      </c>
      <c r="AY308" s="608"/>
      <c r="AZ308" s="608" t="s">
        <v>1503</v>
      </c>
      <c r="BA308" s="544">
        <v>0</v>
      </c>
      <c r="BB308" s="558">
        <v>1</v>
      </c>
      <c r="BC308" s="558">
        <v>4</v>
      </c>
      <c r="BD308" s="558">
        <v>1</v>
      </c>
      <c r="BE308" s="558">
        <v>0</v>
      </c>
      <c r="BF308" s="559">
        <v>0</v>
      </c>
      <c r="BG308" s="771">
        <v>0</v>
      </c>
      <c r="BH308" s="771"/>
      <c r="BI308" s="675">
        <v>0</v>
      </c>
      <c r="BJ308" s="608"/>
      <c r="BK308" s="608">
        <v>0</v>
      </c>
      <c r="BL308" s="608"/>
      <c r="BM308" s="608">
        <v>0</v>
      </c>
      <c r="BN308" s="608"/>
      <c r="BO308" s="608">
        <v>0</v>
      </c>
      <c r="BP308" s="608">
        <v>0</v>
      </c>
      <c r="BQ308" s="608">
        <v>0</v>
      </c>
      <c r="BR308" s="608">
        <v>0</v>
      </c>
      <c r="BS308" s="676">
        <v>0</v>
      </c>
      <c r="BT308" s="675">
        <v>1</v>
      </c>
      <c r="BU308" s="608" t="s">
        <v>2150</v>
      </c>
      <c r="BV308" s="608">
        <v>0</v>
      </c>
      <c r="BW308" s="608">
        <v>0</v>
      </c>
      <c r="BX308" s="608">
        <v>0</v>
      </c>
      <c r="BY308" s="608"/>
      <c r="BZ308" s="608"/>
      <c r="CA308" s="608"/>
      <c r="CB308" s="608">
        <v>0</v>
      </c>
      <c r="CC308" s="608">
        <v>1</v>
      </c>
      <c r="CD308" s="608">
        <v>0</v>
      </c>
      <c r="CE308" s="608"/>
      <c r="CF308" s="608" t="s">
        <v>1494</v>
      </c>
      <c r="CG308" s="608" t="s">
        <v>2165</v>
      </c>
      <c r="CH308" s="608">
        <v>0</v>
      </c>
      <c r="CI308" s="608"/>
      <c r="CJ308" s="558">
        <v>0</v>
      </c>
      <c r="CK308" s="558">
        <v>0</v>
      </c>
      <c r="CL308" s="608">
        <v>0</v>
      </c>
      <c r="CP308" s="564"/>
      <c r="CQ308" s="564"/>
      <c r="CR308" s="566">
        <v>37096</v>
      </c>
      <c r="CS308" s="566">
        <v>37123</v>
      </c>
      <c r="CT308" s="565">
        <v>17</v>
      </c>
      <c r="CU308" s="566">
        <v>37819</v>
      </c>
      <c r="CV308" s="628">
        <v>1</v>
      </c>
      <c r="CW308" s="566">
        <v>37819</v>
      </c>
      <c r="CX308" s="628">
        <v>0</v>
      </c>
      <c r="CY308" s="628">
        <v>0</v>
      </c>
      <c r="CZ308" s="628">
        <v>1</v>
      </c>
      <c r="DA308" s="566" t="s">
        <v>2166</v>
      </c>
      <c r="DB308" s="628">
        <v>0</v>
      </c>
      <c r="DC308" s="566"/>
      <c r="DD308" s="628">
        <v>0</v>
      </c>
      <c r="DE308" s="566"/>
      <c r="DF308" s="628">
        <v>0</v>
      </c>
      <c r="DG308" s="566"/>
      <c r="DH308" s="566"/>
      <c r="DI308" s="566"/>
      <c r="DJ308" s="558">
        <v>1</v>
      </c>
      <c r="DK308" s="572">
        <v>23.438527284681129</v>
      </c>
      <c r="DL308" s="558"/>
      <c r="DM308" s="558" t="b">
        <v>1</v>
      </c>
      <c r="DN308" s="566">
        <v>37819</v>
      </c>
      <c r="DO308" s="566" t="s">
        <v>1359</v>
      </c>
      <c r="DP308" s="647" t="s">
        <v>1360</v>
      </c>
      <c r="DQ308" s="557" t="s">
        <v>1361</v>
      </c>
      <c r="DR308" s="566" t="s">
        <v>1362</v>
      </c>
      <c r="DS308" s="566"/>
      <c r="DT308" s="566"/>
      <c r="DU308" s="571"/>
      <c r="DV308" s="571" t="b">
        <v>0</v>
      </c>
      <c r="DW308" s="566"/>
      <c r="DX308" s="566"/>
      <c r="DY308" s="566"/>
      <c r="DZ308" s="566"/>
      <c r="EA308" s="566"/>
      <c r="EB308" s="566"/>
      <c r="EC308" s="566"/>
      <c r="ED308" s="566"/>
      <c r="EE308" s="566"/>
      <c r="EF308" s="566"/>
      <c r="EG308" s="571" t="s">
        <v>1160</v>
      </c>
      <c r="EH308" s="571"/>
      <c r="EI308" s="571"/>
    </row>
    <row r="309" spans="1:139" s="544" customFormat="1" ht="39.75" customHeight="1">
      <c r="A309" s="539">
        <v>630</v>
      </c>
      <c r="B309" s="623">
        <v>37039</v>
      </c>
      <c r="C309" s="541">
        <v>37039.565972222219</v>
      </c>
      <c r="D309" s="624">
        <v>9964177</v>
      </c>
      <c r="E309" s="625" t="s">
        <v>1363</v>
      </c>
      <c r="F309" s="544" t="b">
        <v>1</v>
      </c>
      <c r="H309" s="571" t="s">
        <v>418</v>
      </c>
      <c r="I309" s="626">
        <v>19402</v>
      </c>
      <c r="J309" s="627">
        <v>48.320547945205476</v>
      </c>
      <c r="K309" s="546">
        <v>579.78303747534517</v>
      </c>
      <c r="L309" s="608" t="s">
        <v>1228</v>
      </c>
      <c r="M309" s="603" t="s">
        <v>1364</v>
      </c>
      <c r="P309" s="544" t="e">
        <f t="shared" si="9"/>
        <v>#DIV/0!</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673">
        <v>0</v>
      </c>
      <c r="AK309" s="552" t="e">
        <f t="shared" si="8"/>
        <v>#DIV/0!</v>
      </c>
      <c r="AL309" s="674"/>
      <c r="AM309" s="671">
        <v>37030</v>
      </c>
      <c r="AN309" s="608" t="s">
        <v>1536</v>
      </c>
      <c r="AO309" s="555"/>
      <c r="AP309" s="608" t="s">
        <v>1850</v>
      </c>
      <c r="AQ309" s="671">
        <v>37006</v>
      </c>
      <c r="AR309" s="608">
        <v>0</v>
      </c>
      <c r="AS309" s="608"/>
      <c r="AT309" s="673">
        <v>0</v>
      </c>
      <c r="AU309" s="608">
        <v>1</v>
      </c>
      <c r="AV309" s="608">
        <v>0</v>
      </c>
      <c r="AW309" s="608">
        <v>1</v>
      </c>
      <c r="AX309" s="558" t="s">
        <v>1365</v>
      </c>
      <c r="AY309" s="608"/>
      <c r="AZ309" s="608" t="s">
        <v>1503</v>
      </c>
      <c r="BA309" s="544">
        <v>0</v>
      </c>
      <c r="BB309" s="558">
        <v>1</v>
      </c>
      <c r="BC309" s="558">
        <v>10</v>
      </c>
      <c r="BD309" s="558">
        <v>0</v>
      </c>
      <c r="BE309" s="558">
        <v>0</v>
      </c>
      <c r="BF309" s="559">
        <v>0</v>
      </c>
      <c r="BG309" s="771">
        <v>0</v>
      </c>
      <c r="BH309" s="771"/>
      <c r="BI309" s="675">
        <v>0</v>
      </c>
      <c r="BJ309" s="608"/>
      <c r="BK309" s="608">
        <v>0</v>
      </c>
      <c r="BL309" s="608"/>
      <c r="BM309" s="608">
        <v>0</v>
      </c>
      <c r="BN309" s="608"/>
      <c r="BO309" s="608">
        <v>0</v>
      </c>
      <c r="BP309" s="608">
        <v>0</v>
      </c>
      <c r="BQ309" s="608">
        <v>0</v>
      </c>
      <c r="BR309" s="608">
        <v>0</v>
      </c>
      <c r="BS309" s="676">
        <v>0</v>
      </c>
      <c r="BT309" s="573">
        <v>1</v>
      </c>
      <c r="BU309" s="574" t="s">
        <v>2167</v>
      </c>
      <c r="BV309" s="574">
        <v>0</v>
      </c>
      <c r="BW309" s="574">
        <v>0</v>
      </c>
      <c r="BX309" s="608">
        <v>0</v>
      </c>
      <c r="BY309" s="608"/>
      <c r="BZ309" s="608"/>
      <c r="CA309" s="608"/>
      <c r="CB309" s="608">
        <v>0</v>
      </c>
      <c r="CC309" s="608">
        <v>0</v>
      </c>
      <c r="CD309" s="608">
        <v>0</v>
      </c>
      <c r="CE309" s="608"/>
      <c r="CF309" s="608"/>
      <c r="CG309" s="608"/>
      <c r="CH309" s="608">
        <v>0</v>
      </c>
      <c r="CI309" s="608"/>
      <c r="CJ309" s="558">
        <v>0</v>
      </c>
      <c r="CK309" s="558">
        <v>0</v>
      </c>
      <c r="CL309" s="608">
        <v>0</v>
      </c>
      <c r="CP309" s="564"/>
      <c r="CQ309" s="564"/>
      <c r="CR309" s="566">
        <v>37029</v>
      </c>
      <c r="CS309" s="566">
        <v>37053</v>
      </c>
      <c r="CT309" s="565">
        <v>14</v>
      </c>
      <c r="CU309" s="566">
        <v>37060</v>
      </c>
      <c r="CV309" s="628">
        <v>0</v>
      </c>
      <c r="CW309" s="566"/>
      <c r="CX309" s="628">
        <v>0</v>
      </c>
      <c r="CY309" s="628">
        <v>0</v>
      </c>
      <c r="CZ309" s="628">
        <v>0</v>
      </c>
      <c r="DA309" s="566"/>
      <c r="DB309" s="628">
        <v>0</v>
      </c>
      <c r="DC309" s="566"/>
      <c r="DD309" s="628">
        <v>0</v>
      </c>
      <c r="DE309" s="566"/>
      <c r="DF309" s="628">
        <v>0</v>
      </c>
      <c r="DG309" s="566"/>
      <c r="DH309" s="566"/>
      <c r="DI309" s="571"/>
      <c r="DJ309" s="558">
        <v>0</v>
      </c>
      <c r="DK309" s="572"/>
      <c r="DL309" s="558"/>
      <c r="DM309" s="558"/>
      <c r="DN309" s="571"/>
      <c r="DO309" s="571"/>
      <c r="DP309" s="571"/>
      <c r="DQ309" s="571"/>
      <c r="DR309" s="571"/>
      <c r="DS309" s="571"/>
      <c r="DT309" s="571"/>
      <c r="DU309" s="571" t="s">
        <v>1160</v>
      </c>
      <c r="DV309" s="571" t="b">
        <v>0</v>
      </c>
      <c r="DW309" s="571"/>
      <c r="DX309" s="571"/>
      <c r="DY309" s="571"/>
      <c r="DZ309" s="571"/>
      <c r="EA309" s="571"/>
      <c r="EB309" s="571"/>
      <c r="EC309" s="571"/>
      <c r="ED309" s="571"/>
      <c r="EE309" s="571"/>
      <c r="EF309" s="571"/>
      <c r="EG309" s="571"/>
      <c r="EH309" s="571"/>
      <c r="EI309" s="571"/>
    </row>
    <row r="310" spans="1:139" s="544" customFormat="1" ht="39.75" customHeight="1">
      <c r="A310" s="539">
        <v>634</v>
      </c>
      <c r="B310" s="623">
        <v>36943</v>
      </c>
      <c r="C310" s="541">
        <v>36943.4375</v>
      </c>
      <c r="D310" s="624">
        <v>9566740</v>
      </c>
      <c r="E310" s="625" t="s">
        <v>1366</v>
      </c>
      <c r="F310" s="544" t="b">
        <v>1</v>
      </c>
      <c r="H310" s="571" t="s">
        <v>418</v>
      </c>
      <c r="I310" s="626">
        <v>30001</v>
      </c>
      <c r="J310" s="627">
        <v>19.019178082191782</v>
      </c>
      <c r="K310" s="546">
        <v>228.2051282051282</v>
      </c>
      <c r="L310" s="608" t="s">
        <v>493</v>
      </c>
      <c r="M310" s="603" t="s">
        <v>1367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607">
        <v>0</v>
      </c>
      <c r="AK310" s="552">
        <f t="shared" si="8"/>
        <v>0</v>
      </c>
      <c r="AL310" s="603"/>
      <c r="AM310" s="604">
        <v>36937</v>
      </c>
      <c r="AN310" s="608" t="s">
        <v>1598</v>
      </c>
      <c r="AO310" s="707">
        <v>36967</v>
      </c>
      <c r="AP310" s="608" t="s">
        <v>1587</v>
      </c>
      <c r="AQ310" s="604"/>
      <c r="AR310" s="605">
        <v>1</v>
      </c>
      <c r="AS310" s="605" t="s">
        <v>1518</v>
      </c>
      <c r="AT310" s="607">
        <v>0</v>
      </c>
      <c r="AU310" s="605">
        <v>1</v>
      </c>
      <c r="AV310" s="605">
        <v>0</v>
      </c>
      <c r="AW310" s="605">
        <v>1</v>
      </c>
      <c r="AX310" s="558" t="s">
        <v>1368</v>
      </c>
      <c r="AY310" s="605"/>
      <c r="AZ310" s="605" t="s">
        <v>1503</v>
      </c>
      <c r="BA310" s="544">
        <v>0</v>
      </c>
      <c r="BB310" s="558">
        <v>1</v>
      </c>
      <c r="BC310" s="558"/>
      <c r="BD310" s="558">
        <v>0</v>
      </c>
      <c r="BE310" s="558">
        <v>0</v>
      </c>
      <c r="BF310" s="559">
        <v>0</v>
      </c>
      <c r="BG310" s="771">
        <v>1</v>
      </c>
      <c r="BH310" s="771" t="s">
        <v>2192</v>
      </c>
      <c r="BI310" s="609">
        <v>0</v>
      </c>
      <c r="BJ310" s="605"/>
      <c r="BK310" s="605">
        <v>0</v>
      </c>
      <c r="BL310" s="605"/>
      <c r="BM310" s="605">
        <v>0</v>
      </c>
      <c r="BN310" s="605"/>
      <c r="BO310" s="605">
        <v>0</v>
      </c>
      <c r="BP310" s="605">
        <v>0</v>
      </c>
      <c r="BQ310" s="605">
        <v>0</v>
      </c>
      <c r="BR310" s="605">
        <v>0</v>
      </c>
      <c r="BS310" s="610">
        <v>0</v>
      </c>
      <c r="BT310" s="560">
        <v>1</v>
      </c>
      <c r="BU310" s="561" t="s">
        <v>2168</v>
      </c>
      <c r="BV310" s="561">
        <v>0</v>
      </c>
      <c r="BW310" s="561">
        <v>0</v>
      </c>
      <c r="BX310" s="605">
        <v>0</v>
      </c>
      <c r="BY310" s="605"/>
      <c r="BZ310" s="605"/>
      <c r="CA310" s="605"/>
      <c r="CB310" s="605">
        <v>0</v>
      </c>
      <c r="CC310" s="605">
        <v>0</v>
      </c>
      <c r="CD310" s="605">
        <v>0</v>
      </c>
      <c r="CE310" s="605"/>
      <c r="CF310" s="605"/>
      <c r="CG310" s="605"/>
      <c r="CH310" s="605">
        <v>1</v>
      </c>
      <c r="CI310" s="596" t="s">
        <v>2198</v>
      </c>
      <c r="CJ310" s="558">
        <v>0</v>
      </c>
      <c r="CK310" s="558">
        <v>0</v>
      </c>
      <c r="CL310" s="608">
        <v>0</v>
      </c>
      <c r="CP310" s="564"/>
      <c r="CQ310" s="564"/>
      <c r="CR310" s="566">
        <v>36938</v>
      </c>
      <c r="CS310" s="566">
        <v>36969</v>
      </c>
      <c r="CT310" s="565">
        <v>26</v>
      </c>
      <c r="CU310" s="566">
        <v>44314</v>
      </c>
      <c r="CV310" s="628">
        <v>0</v>
      </c>
      <c r="CW310" s="566"/>
      <c r="CX310" s="628">
        <v>0</v>
      </c>
      <c r="CY310" s="628">
        <v>0</v>
      </c>
      <c r="CZ310" s="628">
        <v>0</v>
      </c>
      <c r="DA310" s="566"/>
      <c r="DB310" s="628">
        <v>0</v>
      </c>
      <c r="DC310" s="566"/>
      <c r="DD310" s="628">
        <v>0</v>
      </c>
      <c r="DE310" s="566"/>
      <c r="DF310" s="628">
        <v>0</v>
      </c>
      <c r="DG310" s="566"/>
      <c r="DH310" s="566"/>
      <c r="DI310" s="571"/>
      <c r="DJ310" s="558">
        <v>0</v>
      </c>
      <c r="DK310" s="572"/>
      <c r="DL310" s="558"/>
      <c r="DM310" s="558"/>
      <c r="DN310" s="571"/>
      <c r="DO310" s="571"/>
      <c r="DP310" s="571"/>
      <c r="DQ310" s="571"/>
      <c r="DR310" s="571"/>
      <c r="DS310" s="571"/>
      <c r="DT310" s="571"/>
      <c r="DU310" s="571"/>
      <c r="DV310" s="571" t="b">
        <v>0</v>
      </c>
      <c r="DW310" s="571"/>
      <c r="DX310" s="571"/>
      <c r="DY310" s="571"/>
      <c r="DZ310" s="571"/>
      <c r="EA310" s="571"/>
      <c r="EB310" s="571"/>
      <c r="EC310" s="571"/>
      <c r="ED310" s="571"/>
      <c r="EE310" s="571"/>
      <c r="EF310" s="571"/>
      <c r="EG310" s="571" t="s">
        <v>1160</v>
      </c>
      <c r="EH310" s="571"/>
      <c r="EI310" s="571"/>
    </row>
    <row r="311" spans="1:139" s="544" customFormat="1" ht="39.75" customHeight="1">
      <c r="A311" s="539">
        <v>635</v>
      </c>
      <c r="B311" s="623">
        <v>36932</v>
      </c>
      <c r="C311" s="541">
        <v>36932.385416666664</v>
      </c>
      <c r="D311" s="624">
        <v>9540179</v>
      </c>
      <c r="E311" s="625" t="s">
        <v>1369</v>
      </c>
      <c r="F311" s="544" t="b">
        <v>1</v>
      </c>
      <c r="H311" s="571" t="s">
        <v>441</v>
      </c>
      <c r="I311" s="626">
        <v>22764</v>
      </c>
      <c r="J311" s="627">
        <v>38.816438356164383</v>
      </c>
      <c r="K311" s="546">
        <v>465.74621959237339</v>
      </c>
      <c r="L311" s="608" t="s">
        <v>493</v>
      </c>
      <c r="M311" s="603" t="s">
        <v>1370</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673">
        <v>0</v>
      </c>
      <c r="AK311" s="552">
        <f t="shared" si="8"/>
        <v>0</v>
      </c>
      <c r="AL311" s="674"/>
      <c r="AM311" s="671">
        <v>36931</v>
      </c>
      <c r="AN311" s="608" t="s">
        <v>1906</v>
      </c>
      <c r="AO311" s="555">
        <v>36963</v>
      </c>
      <c r="AP311" s="608" t="s">
        <v>1850</v>
      </c>
      <c r="AQ311" s="671">
        <v>36931</v>
      </c>
      <c r="AR311" s="608">
        <v>1</v>
      </c>
      <c r="AS311" s="608" t="s">
        <v>1518</v>
      </c>
      <c r="AT311" s="673">
        <v>0</v>
      </c>
      <c r="AU311" s="608">
        <v>1</v>
      </c>
      <c r="AV311" s="608">
        <v>0</v>
      </c>
      <c r="AW311" s="608">
        <v>1</v>
      </c>
      <c r="AX311" s="558" t="s">
        <v>1371</v>
      </c>
      <c r="AY311" s="608"/>
      <c r="AZ311" s="608" t="s">
        <v>1503</v>
      </c>
      <c r="BA311" s="544">
        <v>0</v>
      </c>
      <c r="BB311" s="558">
        <v>1</v>
      </c>
      <c r="BC311" s="558"/>
      <c r="BD311" s="558">
        <v>0</v>
      </c>
      <c r="BE311" s="558">
        <v>0</v>
      </c>
      <c r="BF311" s="559">
        <v>0</v>
      </c>
      <c r="BG311" s="771">
        <v>1</v>
      </c>
      <c r="BH311" s="771" t="s">
        <v>2004</v>
      </c>
      <c r="BI311" s="675">
        <v>0</v>
      </c>
      <c r="BJ311" s="608"/>
      <c r="BK311" s="608">
        <v>0</v>
      </c>
      <c r="BL311" s="608"/>
      <c r="BM311" s="608">
        <v>0</v>
      </c>
      <c r="BN311" s="608"/>
      <c r="BO311" s="608">
        <v>0</v>
      </c>
      <c r="BP311" s="608">
        <v>0</v>
      </c>
      <c r="BQ311" s="608">
        <v>0</v>
      </c>
      <c r="BR311" s="608">
        <v>0</v>
      </c>
      <c r="BS311" s="676">
        <v>0</v>
      </c>
      <c r="BT311" s="560">
        <v>1</v>
      </c>
      <c r="BU311" s="561" t="s">
        <v>2168</v>
      </c>
      <c r="BV311" s="561">
        <v>0</v>
      </c>
      <c r="BW311" s="561">
        <v>0</v>
      </c>
      <c r="BX311" s="608">
        <v>0</v>
      </c>
      <c r="BY311" s="608"/>
      <c r="BZ311" s="608"/>
      <c r="CA311" s="608"/>
      <c r="CB311" s="608">
        <v>0</v>
      </c>
      <c r="CC311" s="608">
        <v>0</v>
      </c>
      <c r="CD311" s="608">
        <v>0</v>
      </c>
      <c r="CE311" s="608"/>
      <c r="CF311" s="608" t="s">
        <v>1770</v>
      </c>
      <c r="CG311" s="608"/>
      <c r="CH311" s="608">
        <v>0</v>
      </c>
      <c r="CI311" s="580"/>
      <c r="CJ311" s="558">
        <v>0</v>
      </c>
      <c r="CK311" s="558">
        <v>0</v>
      </c>
      <c r="CL311" s="608">
        <v>0</v>
      </c>
      <c r="CP311" s="564"/>
      <c r="CQ311" s="564"/>
      <c r="CR311" s="566">
        <v>36931</v>
      </c>
      <c r="CS311" s="566">
        <v>36964</v>
      </c>
      <c r="CT311" s="565">
        <v>32</v>
      </c>
      <c r="CU311" s="566">
        <v>44266</v>
      </c>
      <c r="CV311" s="628">
        <v>0</v>
      </c>
      <c r="CW311" s="566"/>
      <c r="CX311" s="628">
        <v>0</v>
      </c>
      <c r="CY311" s="628">
        <v>0</v>
      </c>
      <c r="CZ311" s="628">
        <v>0</v>
      </c>
      <c r="DA311" s="566"/>
      <c r="DB311" s="628">
        <v>0</v>
      </c>
      <c r="DC311" s="566"/>
      <c r="DD311" s="628">
        <v>0</v>
      </c>
      <c r="DE311" s="566"/>
      <c r="DF311" s="628">
        <v>0</v>
      </c>
      <c r="DG311" s="566"/>
      <c r="DH311" s="566"/>
      <c r="DI311" s="571"/>
      <c r="DJ311" s="558">
        <v>0</v>
      </c>
      <c r="DK311" s="572"/>
      <c r="DL311" s="558"/>
      <c r="DM311" s="558"/>
      <c r="DN311" s="571"/>
      <c r="DO311" s="571"/>
      <c r="DP311" s="571"/>
      <c r="DQ311" s="571"/>
      <c r="DR311" s="571"/>
      <c r="DS311" s="571"/>
      <c r="DT311" s="571"/>
      <c r="DU311" s="571"/>
      <c r="DV311" s="571" t="b">
        <v>0</v>
      </c>
      <c r="DW311" s="571"/>
      <c r="DX311" s="571"/>
      <c r="DY311" s="571"/>
      <c r="DZ311" s="571"/>
      <c r="EA311" s="571"/>
      <c r="EB311" s="571"/>
      <c r="EC311" s="571"/>
      <c r="ED311" s="571"/>
      <c r="EE311" s="571"/>
      <c r="EF311" s="571"/>
      <c r="EG311" s="571" t="s">
        <v>1160</v>
      </c>
      <c r="EH311" s="571"/>
      <c r="EI311" s="571"/>
    </row>
    <row r="312" spans="1:139" s="48" customFormat="1" ht="39.75" customHeight="1">
      <c r="A312" s="60">
        <v>636</v>
      </c>
      <c r="B312" s="149">
        <v>36888</v>
      </c>
      <c r="C312" s="62">
        <v>36888.402777777781</v>
      </c>
      <c r="D312" s="150">
        <v>9020943</v>
      </c>
      <c r="E312" s="151" t="s">
        <v>1372</v>
      </c>
      <c r="F312" s="48" t="b">
        <v>0</v>
      </c>
      <c r="G312" s="48" t="s">
        <v>2169</v>
      </c>
      <c r="H312" s="143" t="s">
        <v>418</v>
      </c>
      <c r="I312" s="152">
        <v>29250</v>
      </c>
      <c r="J312" s="153">
        <v>20.926027397260274</v>
      </c>
      <c r="K312" s="85">
        <v>251.08481262327416</v>
      </c>
      <c r="L312" s="143" t="s">
        <v>493</v>
      </c>
      <c r="M312" s="688" t="s">
        <v>1373</v>
      </c>
      <c r="P312" s="48" t="e">
        <f t="shared" si="9"/>
        <v>#DIV/0!</v>
      </c>
      <c r="Q312" s="159"/>
      <c r="V312" s="51"/>
      <c r="Y312" s="216"/>
      <c r="Z312" s="336"/>
      <c r="AA312" s="324"/>
      <c r="AB312" s="324"/>
      <c r="AC312" s="324"/>
      <c r="AD312" s="324"/>
      <c r="AE312" s="324"/>
      <c r="AF312" s="324"/>
      <c r="AG312" s="324"/>
      <c r="AH312" s="324"/>
      <c r="AI312" s="324"/>
      <c r="AJ312" s="324"/>
      <c r="AK312" s="324" t="e">
        <f t="shared" si="8"/>
        <v>#DIV/0!</v>
      </c>
      <c r="AL312" s="187"/>
      <c r="AM312" s="191"/>
      <c r="AN312" s="51"/>
      <c r="AO312" s="61"/>
      <c r="AP312" s="60"/>
      <c r="AQ312" s="191"/>
      <c r="AR312" s="51"/>
      <c r="AS312" s="51"/>
      <c r="AT312" s="324"/>
      <c r="AU312" s="51"/>
      <c r="AV312" s="51"/>
      <c r="AW312" s="51"/>
      <c r="AX312" s="82" t="s">
        <v>1374</v>
      </c>
      <c r="AY312" s="160"/>
      <c r="AZ312" s="160">
        <v>1</v>
      </c>
      <c r="BB312" s="82"/>
      <c r="BC312" s="82" t="e">
        <v>#REF!</v>
      </c>
      <c r="BD312" s="82"/>
      <c r="BE312" s="82"/>
      <c r="BF312" s="235"/>
      <c r="BG312" s="767"/>
      <c r="BH312" s="767"/>
      <c r="BI312" s="230">
        <v>1</v>
      </c>
      <c r="BJ312" s="160"/>
      <c r="BK312" s="160"/>
      <c r="BL312" s="160"/>
      <c r="BM312" s="160"/>
      <c r="BN312" s="160"/>
      <c r="BO312" s="160"/>
      <c r="BP312" s="160"/>
      <c r="BQ312" s="160"/>
      <c r="BR312" s="160"/>
      <c r="BS312" s="250">
        <v>0</v>
      </c>
      <c r="BT312" s="230"/>
      <c r="BU312" s="160"/>
      <c r="BV312" s="160"/>
      <c r="BW312" s="160"/>
      <c r="BX312" s="160"/>
      <c r="BY312" s="160"/>
      <c r="BZ312" s="160"/>
      <c r="CA312" s="71" t="e">
        <v>#REF!</v>
      </c>
      <c r="CB312" s="161"/>
      <c r="CC312" s="161"/>
      <c r="CD312" s="161"/>
      <c r="CE312" s="161"/>
      <c r="CF312" s="161"/>
      <c r="CG312" s="160"/>
      <c r="CH312" s="160"/>
      <c r="CI312" s="160"/>
      <c r="CJ312" s="82">
        <v>0</v>
      </c>
      <c r="CK312" s="82">
        <v>0</v>
      </c>
      <c r="CL312" s="145"/>
      <c r="CP312" s="505"/>
      <c r="CQ312" s="505"/>
      <c r="CR312" s="84">
        <v>36776</v>
      </c>
      <c r="CS312" s="84">
        <v>36955</v>
      </c>
      <c r="CT312" s="83">
        <v>67</v>
      </c>
      <c r="CU312" s="84"/>
      <c r="CV312" s="154"/>
      <c r="CW312" s="84"/>
      <c r="CX312" s="154"/>
      <c r="CY312" s="154"/>
      <c r="CZ312" s="154"/>
      <c r="DA312" s="84"/>
      <c r="DB312" s="154"/>
      <c r="DC312" s="84"/>
      <c r="DD312" s="154"/>
      <c r="DE312" s="84"/>
      <c r="DF312" s="154"/>
      <c r="DG312" s="84"/>
      <c r="DH312" s="84" t="s">
        <v>1375</v>
      </c>
      <c r="DI312" s="84"/>
      <c r="DJ312" s="82">
        <v>1</v>
      </c>
      <c r="DK312" s="155">
        <v>17.389875082182773</v>
      </c>
      <c r="DL312" s="82"/>
      <c r="DM312" s="82" t="b">
        <v>1</v>
      </c>
      <c r="DN312" s="84">
        <v>37417</v>
      </c>
      <c r="DO312" s="84" t="s">
        <v>1337</v>
      </c>
      <c r="DP312" s="162" t="s">
        <v>1342</v>
      </c>
      <c r="DQ312" s="71" t="s">
        <v>1343</v>
      </c>
      <c r="DR312" s="143" t="s">
        <v>1344</v>
      </c>
      <c r="DS312" s="84"/>
      <c r="DT312" s="84"/>
      <c r="DU312" s="143" t="s">
        <v>1160</v>
      </c>
      <c r="DV312" s="143" t="b">
        <v>0</v>
      </c>
      <c r="DW312" s="84"/>
      <c r="DX312" s="84"/>
      <c r="DY312" s="84"/>
      <c r="DZ312" s="84"/>
      <c r="EA312" s="84"/>
      <c r="EB312" s="84"/>
      <c r="EC312" s="84"/>
      <c r="ED312" s="84"/>
      <c r="EE312" s="84"/>
      <c r="EF312" s="84"/>
      <c r="EG312" s="143" t="s">
        <v>1160</v>
      </c>
      <c r="EH312" s="143"/>
      <c r="EI312" s="143"/>
    </row>
    <row r="313" spans="1:139" s="48" customFormat="1" ht="39.75" customHeight="1">
      <c r="A313" s="60">
        <v>637</v>
      </c>
      <c r="B313" s="149">
        <v>36874</v>
      </c>
      <c r="C313" s="62">
        <v>36874.291666666664</v>
      </c>
      <c r="D313" s="150">
        <v>9285911</v>
      </c>
      <c r="E313" s="151" t="s">
        <v>1376</v>
      </c>
      <c r="F313" s="48" t="b">
        <v>0</v>
      </c>
      <c r="G313" s="48" t="s">
        <v>1487</v>
      </c>
      <c r="H313" s="143" t="s">
        <v>441</v>
      </c>
      <c r="I313" s="152">
        <v>16060</v>
      </c>
      <c r="J313" s="153">
        <v>57.024657534246572</v>
      </c>
      <c r="K313" s="85">
        <v>684.22090729783031</v>
      </c>
      <c r="L313" s="143" t="s">
        <v>493</v>
      </c>
      <c r="M313" s="495" t="s">
        <v>1377</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154"/>
      <c r="AK313" s="324">
        <f t="shared" si="8"/>
        <v>0</v>
      </c>
      <c r="AL313" s="645"/>
      <c r="AM313" s="84"/>
      <c r="AN313" s="143"/>
      <c r="AO313" s="61"/>
      <c r="AP313" s="143"/>
      <c r="AQ313" s="84"/>
      <c r="AR313" s="143"/>
      <c r="AS313" s="143"/>
      <c r="AT313" s="154"/>
      <c r="AU313" s="143"/>
      <c r="AV313" s="143"/>
      <c r="AW313" s="143"/>
      <c r="AX313" s="82" t="s">
        <v>1378</v>
      </c>
      <c r="AY313" s="82"/>
      <c r="AZ313" s="82"/>
      <c r="BB313" s="82"/>
      <c r="BC313" s="82"/>
      <c r="BD313" s="82"/>
      <c r="BE313" s="82"/>
      <c r="BF313" s="235"/>
      <c r="BG313" s="767"/>
      <c r="BH313" s="767"/>
      <c r="BI313" s="229"/>
      <c r="BJ313" s="82"/>
      <c r="BK313" s="82"/>
      <c r="BL313" s="82"/>
      <c r="BM313" s="82"/>
      <c r="BN313" s="82"/>
      <c r="BO313" s="82"/>
      <c r="BP313" s="82"/>
      <c r="BQ313" s="82"/>
      <c r="BR313" s="82"/>
      <c r="BS313" s="235"/>
      <c r="BT313" s="229" t="s">
        <v>213</v>
      </c>
      <c r="BU313" s="82"/>
      <c r="BV313" s="82"/>
      <c r="BW313" s="82"/>
      <c r="BX313" s="82"/>
      <c r="BY313" s="82"/>
      <c r="BZ313" s="82"/>
      <c r="CA313" s="82"/>
      <c r="CB313" s="82"/>
      <c r="CC313" s="82"/>
      <c r="CD313" s="82"/>
      <c r="CE313" s="82"/>
      <c r="CF313" s="82"/>
      <c r="CG313" s="82"/>
      <c r="CH313" s="82"/>
      <c r="CI313" s="82"/>
      <c r="CJ313" s="82">
        <v>0</v>
      </c>
      <c r="CK313" s="82">
        <v>0</v>
      </c>
      <c r="CL313" s="145"/>
      <c r="CP313" s="505"/>
      <c r="CQ313" s="505"/>
      <c r="CR313" s="84">
        <v>36872</v>
      </c>
      <c r="CS313" s="84">
        <v>36930</v>
      </c>
      <c r="CT313" s="83">
        <v>56</v>
      </c>
      <c r="CU313" s="84"/>
      <c r="CV313" s="154"/>
      <c r="CW313" s="84"/>
      <c r="CX313" s="154"/>
      <c r="CY313" s="154"/>
      <c r="CZ313" s="154"/>
      <c r="DA313" s="84"/>
      <c r="DB313" s="154"/>
      <c r="DC313" s="84"/>
      <c r="DD313" s="154"/>
      <c r="DE313" s="84"/>
      <c r="DF313" s="154"/>
      <c r="DG313" s="84"/>
      <c r="DH313" s="84"/>
      <c r="DI313" s="143"/>
      <c r="DJ313" s="82">
        <v>1</v>
      </c>
      <c r="DK313" s="155">
        <v>85.535831689677835</v>
      </c>
      <c r="DL313" s="82"/>
      <c r="DM313" s="82" t="b">
        <v>1</v>
      </c>
      <c r="DN313" s="84">
        <v>39476</v>
      </c>
      <c r="DO313" s="93" t="s">
        <v>1379</v>
      </c>
      <c r="DP313" s="143"/>
      <c r="DQ313" s="143"/>
      <c r="DR313" s="143" t="s">
        <v>1380</v>
      </c>
      <c r="DS313" s="143"/>
      <c r="DT313" s="143"/>
      <c r="DU313" s="143"/>
      <c r="DV313" s="143" t="b">
        <v>0</v>
      </c>
      <c r="DW313" s="143"/>
      <c r="DX313" s="143"/>
      <c r="DY313" s="143"/>
      <c r="DZ313" s="143"/>
      <c r="EA313" s="143"/>
      <c r="EB313" s="143"/>
      <c r="EC313" s="143"/>
      <c r="ED313" s="143"/>
      <c r="EE313" s="143"/>
      <c r="EF313" s="143"/>
      <c r="EG313" s="143" t="s">
        <v>1160</v>
      </c>
      <c r="EH313" s="143"/>
      <c r="EI313" s="143"/>
    </row>
    <row r="314" spans="1:139" s="48" customFormat="1" ht="39.75" customHeight="1">
      <c r="A314" s="60">
        <v>639</v>
      </c>
      <c r="B314" s="149">
        <v>36727</v>
      </c>
      <c r="C314" s="62">
        <v>36727.527777777781</v>
      </c>
      <c r="D314" s="150">
        <v>8614073</v>
      </c>
      <c r="E314" s="151" t="s">
        <v>1381</v>
      </c>
      <c r="F314" s="48" t="b">
        <v>0</v>
      </c>
      <c r="G314" s="48" t="s">
        <v>1674</v>
      </c>
      <c r="H314" s="143" t="s">
        <v>441</v>
      </c>
      <c r="I314" s="152">
        <v>25206</v>
      </c>
      <c r="J314" s="153">
        <v>31.564383561643837</v>
      </c>
      <c r="K314" s="85">
        <v>378.73109796186719</v>
      </c>
      <c r="L314" s="143" t="s">
        <v>493</v>
      </c>
      <c r="M314" s="688" t="s">
        <v>1382</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690"/>
      <c r="AK314" s="324">
        <f t="shared" si="8"/>
        <v>0</v>
      </c>
      <c r="AL314" s="688" t="s">
        <v>2170</v>
      </c>
      <c r="AM314" s="691"/>
      <c r="AN314" s="160"/>
      <c r="AO314" s="61"/>
      <c r="AP314" s="82" t="s">
        <v>1587</v>
      </c>
      <c r="AQ314" s="691"/>
      <c r="AR314" s="160"/>
      <c r="AS314" s="160"/>
      <c r="AT314" s="690"/>
      <c r="AU314" s="160"/>
      <c r="AV314" s="160"/>
      <c r="AW314" s="160">
        <v>1</v>
      </c>
      <c r="AX314" s="82" t="s">
        <v>1383</v>
      </c>
      <c r="AY314" s="160" t="s">
        <v>1537</v>
      </c>
      <c r="AZ314" s="160" t="s">
        <v>1494</v>
      </c>
      <c r="BB314" s="82"/>
      <c r="BC314" s="82"/>
      <c r="BD314" s="82"/>
      <c r="BE314" s="82"/>
      <c r="BF314" s="235"/>
      <c r="BG314" s="767"/>
      <c r="BH314" s="767"/>
      <c r="BI314" s="230"/>
      <c r="BJ314" s="160"/>
      <c r="BK314" s="160"/>
      <c r="BL314" s="160"/>
      <c r="BM314" s="160"/>
      <c r="BN314" s="160"/>
      <c r="BO314" s="160"/>
      <c r="BP314" s="160"/>
      <c r="BQ314" s="160"/>
      <c r="BR314" s="160"/>
      <c r="BS314" s="250"/>
      <c r="BT314" s="228" t="s">
        <v>174</v>
      </c>
      <c r="BU314" s="138"/>
      <c r="BV314" s="138"/>
      <c r="BW314" s="138"/>
      <c r="BX314" s="160"/>
      <c r="BY314" s="160"/>
      <c r="BZ314" s="160" t="s">
        <v>1507</v>
      </c>
      <c r="CA314" s="160"/>
      <c r="CB314" s="160"/>
      <c r="CC314" s="160"/>
      <c r="CD314" s="160"/>
      <c r="CE314" s="160"/>
      <c r="CF314" s="160" t="s">
        <v>1747</v>
      </c>
      <c r="CG314" s="160"/>
      <c r="CH314" s="160"/>
      <c r="CI314" s="160"/>
      <c r="CJ314" s="82">
        <v>0</v>
      </c>
      <c r="CK314" s="82">
        <v>0</v>
      </c>
      <c r="CL314" s="145"/>
      <c r="CP314" s="505"/>
      <c r="CQ314" s="505"/>
      <c r="CR314" s="84">
        <v>36718</v>
      </c>
      <c r="CS314" s="84">
        <v>36736</v>
      </c>
      <c r="CT314" s="83">
        <v>9</v>
      </c>
      <c r="CU314" s="84"/>
      <c r="CV314" s="154"/>
      <c r="CW314" s="84"/>
      <c r="CX314" s="154"/>
      <c r="CY314" s="154"/>
      <c r="CZ314" s="154"/>
      <c r="DA314" s="84"/>
      <c r="DB314" s="154"/>
      <c r="DC314" s="84"/>
      <c r="DD314" s="154"/>
      <c r="DE314" s="84"/>
      <c r="DF314" s="154"/>
      <c r="DG314" s="84"/>
      <c r="DH314" s="84"/>
      <c r="DI314" s="143"/>
      <c r="DJ314" s="82">
        <v>0</v>
      </c>
      <c r="DK314" s="155"/>
      <c r="DL314" s="82"/>
      <c r="DM314" s="82"/>
      <c r="DN314" s="143"/>
      <c r="DO314" s="143"/>
      <c r="DP314" s="143"/>
      <c r="DQ314" s="143"/>
      <c r="DR314" s="143"/>
      <c r="DS314" s="143"/>
      <c r="DT314" s="143"/>
      <c r="DU314" s="143"/>
      <c r="DV314" s="143" t="b">
        <v>0</v>
      </c>
      <c r="DW314" s="143"/>
      <c r="DX314" s="143"/>
      <c r="DY314" s="143"/>
      <c r="DZ314" s="143"/>
      <c r="EA314" s="143"/>
      <c r="EB314" s="143"/>
      <c r="EC314" s="143"/>
      <c r="ED314" s="143"/>
      <c r="EE314" s="143"/>
      <c r="EF314" s="143"/>
      <c r="EG314" s="143" t="s">
        <v>1160</v>
      </c>
      <c r="EH314" s="143"/>
      <c r="EI314" s="143"/>
    </row>
    <row r="315" spans="1:139" s="196" customFormat="1" ht="39.75" customHeight="1">
      <c r="A315" s="90">
        <v>640</v>
      </c>
      <c r="B315" s="629">
        <v>36694</v>
      </c>
      <c r="C315" s="194">
        <v>36694.5625</v>
      </c>
      <c r="D315" s="630">
        <v>8730571</v>
      </c>
      <c r="E315" s="631" t="s">
        <v>1384</v>
      </c>
      <c r="F315" s="196" t="s">
        <v>1590</v>
      </c>
      <c r="G315" s="196" t="s">
        <v>1730</v>
      </c>
      <c r="H315" s="516" t="s">
        <v>418</v>
      </c>
      <c r="I315" s="632">
        <v>22096</v>
      </c>
      <c r="J315" s="633">
        <v>39.994520547945207</v>
      </c>
      <c r="K315" s="197">
        <v>479.88165680473372</v>
      </c>
      <c r="L315" s="516" t="s">
        <v>493</v>
      </c>
      <c r="M315" s="648" t="s">
        <v>1385</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650"/>
      <c r="AK315" s="326">
        <f t="shared" si="8"/>
        <v>0</v>
      </c>
      <c r="AL315" s="651"/>
      <c r="AM315" s="652"/>
      <c r="AN315" s="203"/>
      <c r="AO315" s="88"/>
      <c r="AP315" s="203"/>
      <c r="AQ315" s="652"/>
      <c r="AR315" s="203"/>
      <c r="AS315" s="203"/>
      <c r="AT315" s="650"/>
      <c r="AU315" s="203"/>
      <c r="AV315" s="203"/>
      <c r="AW315" s="203"/>
      <c r="AX315" s="203" t="s">
        <v>1386</v>
      </c>
      <c r="AY315" s="203"/>
      <c r="AZ315" s="203">
        <v>1</v>
      </c>
      <c r="BB315" s="203"/>
      <c r="BC315" s="203"/>
      <c r="BD315" s="203"/>
      <c r="BE315" s="203"/>
      <c r="BF315" s="236"/>
      <c r="BG315" s="768"/>
      <c r="BH315" s="768"/>
      <c r="BI315" s="653"/>
      <c r="BJ315" s="203"/>
      <c r="BK315" s="203"/>
      <c r="BL315" s="203"/>
      <c r="BM315" s="203"/>
      <c r="BN315" s="203"/>
      <c r="BO315" s="203"/>
      <c r="BP315" s="203"/>
      <c r="BQ315" s="203"/>
      <c r="BR315" s="203"/>
      <c r="BS315" s="236"/>
      <c r="BT315" s="591" t="s">
        <v>1333</v>
      </c>
      <c r="BU315" s="510"/>
      <c r="BV315" s="510"/>
      <c r="BW315" s="510"/>
      <c r="BX315" s="203"/>
      <c r="BY315" s="203"/>
      <c r="BZ315" s="203"/>
      <c r="CA315" s="203"/>
      <c r="CB315" s="203"/>
      <c r="CC315" s="203"/>
      <c r="CD315" s="203"/>
      <c r="CE315" s="203"/>
      <c r="CF315" s="203"/>
      <c r="CG315" s="203"/>
      <c r="CH315" s="516" t="s">
        <v>203</v>
      </c>
      <c r="CI315" s="516"/>
      <c r="CJ315" s="203">
        <v>0</v>
      </c>
      <c r="CK315" s="203">
        <v>0</v>
      </c>
      <c r="CL315" s="708"/>
      <c r="CP315" s="506"/>
      <c r="CQ315" s="506"/>
      <c r="CR315" s="206">
        <v>36694</v>
      </c>
      <c r="CS315" s="206">
        <v>36736</v>
      </c>
      <c r="CT315" s="205">
        <v>42</v>
      </c>
      <c r="CU315" s="206"/>
      <c r="CV315" s="639"/>
      <c r="CW315" s="206"/>
      <c r="CX315" s="639"/>
      <c r="CY315" s="639"/>
      <c r="CZ315" s="639"/>
      <c r="DA315" s="206"/>
      <c r="DB315" s="639"/>
      <c r="DC315" s="206"/>
      <c r="DD315" s="639"/>
      <c r="DE315" s="206"/>
      <c r="DF315" s="639"/>
      <c r="DG315" s="206"/>
      <c r="DH315" s="206"/>
      <c r="DI315" s="516" t="s">
        <v>986</v>
      </c>
      <c r="DJ315" s="203">
        <v>0</v>
      </c>
      <c r="DK315" s="640"/>
      <c r="DL315" s="203"/>
      <c r="DM315" s="203"/>
      <c r="DN315" s="516"/>
      <c r="DO315" s="516"/>
      <c r="DP315" s="516"/>
      <c r="DQ315" s="516"/>
      <c r="DR315" s="516"/>
      <c r="DS315" s="516"/>
      <c r="DT315" s="516"/>
      <c r="DU315" s="516" t="s">
        <v>1160</v>
      </c>
      <c r="DV315" s="516" t="b">
        <v>0</v>
      </c>
      <c r="DW315" s="516"/>
      <c r="DX315" s="516"/>
      <c r="DY315" s="516"/>
      <c r="DZ315" s="516"/>
      <c r="EA315" s="516"/>
      <c r="EB315" s="516"/>
      <c r="EC315" s="516"/>
      <c r="ED315" s="516"/>
      <c r="EE315" s="516"/>
      <c r="EF315" s="516"/>
      <c r="EG315" s="516" t="s">
        <v>1160</v>
      </c>
      <c r="EH315" s="516"/>
      <c r="EI315" s="516"/>
    </row>
    <row r="316" spans="1:139" s="544" customFormat="1" ht="39.75" customHeight="1">
      <c r="A316" s="539">
        <v>642</v>
      </c>
      <c r="B316" s="623">
        <v>36631</v>
      </c>
      <c r="C316" s="541">
        <v>36631.368055555555</v>
      </c>
      <c r="D316" s="624">
        <v>8432521</v>
      </c>
      <c r="E316" s="625" t="s">
        <v>1387</v>
      </c>
      <c r="F316" s="544" t="b">
        <v>1</v>
      </c>
      <c r="H316" s="571" t="s">
        <v>441</v>
      </c>
      <c r="I316" s="626">
        <v>19748</v>
      </c>
      <c r="J316" s="627">
        <v>46.254794520547946</v>
      </c>
      <c r="K316" s="546">
        <v>554.99671268902034</v>
      </c>
      <c r="L316" s="608" t="s">
        <v>493</v>
      </c>
      <c r="M316" s="603" t="s">
        <v>1388</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673">
        <v>1</v>
      </c>
      <c r="AK316" s="552">
        <f t="shared" si="8"/>
        <v>0</v>
      </c>
      <c r="AL316" s="674" t="s">
        <v>2173</v>
      </c>
      <c r="AM316" s="671">
        <v>36609</v>
      </c>
      <c r="AN316" s="608" t="s">
        <v>2172</v>
      </c>
      <c r="AO316" s="555">
        <v>36659</v>
      </c>
      <c r="AP316" s="671" t="s">
        <v>2171</v>
      </c>
      <c r="AQ316" s="671">
        <v>36608</v>
      </c>
      <c r="AR316" s="608">
        <v>0</v>
      </c>
      <c r="AS316" s="608"/>
      <c r="AT316" s="673">
        <v>0</v>
      </c>
      <c r="AU316" s="608">
        <v>1</v>
      </c>
      <c r="AV316" s="608">
        <v>0</v>
      </c>
      <c r="AW316" s="608">
        <v>1</v>
      </c>
      <c r="AX316" s="558" t="s">
        <v>1389</v>
      </c>
      <c r="AY316" s="608"/>
      <c r="AZ316" s="608" t="s">
        <v>1503</v>
      </c>
      <c r="BA316" s="544">
        <v>0</v>
      </c>
      <c r="BB316" s="558">
        <v>1</v>
      </c>
      <c r="BC316" s="558">
        <v>15</v>
      </c>
      <c r="BD316" s="558">
        <v>0</v>
      </c>
      <c r="BE316" s="558">
        <v>0</v>
      </c>
      <c r="BF316" s="559">
        <v>0</v>
      </c>
      <c r="BG316" s="771">
        <v>1</v>
      </c>
      <c r="BH316" s="771" t="s">
        <v>2192</v>
      </c>
      <c r="BI316" s="675">
        <v>0</v>
      </c>
      <c r="BJ316" s="608"/>
      <c r="BK316" s="608">
        <v>0</v>
      </c>
      <c r="BL316" s="608"/>
      <c r="BM316" s="608">
        <v>0</v>
      </c>
      <c r="BN316" s="608"/>
      <c r="BO316" s="608">
        <v>0</v>
      </c>
      <c r="BP316" s="608">
        <v>0</v>
      </c>
      <c r="BQ316" s="608">
        <v>0</v>
      </c>
      <c r="BR316" s="608">
        <v>0</v>
      </c>
      <c r="BS316" s="676">
        <v>0</v>
      </c>
      <c r="BT316" s="573">
        <v>1</v>
      </c>
      <c r="BU316" s="574" t="s">
        <v>1636</v>
      </c>
      <c r="BV316" s="574">
        <v>0</v>
      </c>
      <c r="BW316" s="574">
        <v>0</v>
      </c>
      <c r="BX316" s="608">
        <v>0</v>
      </c>
      <c r="BY316" s="608"/>
      <c r="BZ316" s="608"/>
      <c r="CA316" s="608"/>
      <c r="CB316" s="608">
        <v>0</v>
      </c>
      <c r="CC316" s="608">
        <v>0</v>
      </c>
      <c r="CD316" s="608">
        <v>0</v>
      </c>
      <c r="CE316" s="608"/>
      <c r="CF316" s="608"/>
      <c r="CG316" s="608"/>
      <c r="CH316" s="608">
        <v>0</v>
      </c>
      <c r="CI316" s="596"/>
      <c r="CJ316" s="558">
        <v>0</v>
      </c>
      <c r="CK316" s="558">
        <v>0</v>
      </c>
      <c r="CL316" s="608">
        <v>0</v>
      </c>
      <c r="CP316" s="564"/>
      <c r="CQ316" s="564"/>
      <c r="CR316" s="566">
        <v>36628</v>
      </c>
      <c r="CS316" s="566">
        <v>36653</v>
      </c>
      <c r="CT316" s="565">
        <v>22</v>
      </c>
      <c r="CU316" s="566">
        <v>44208</v>
      </c>
      <c r="CV316" s="628">
        <v>0</v>
      </c>
      <c r="CW316" s="566"/>
      <c r="CX316" s="628">
        <v>0</v>
      </c>
      <c r="CY316" s="628">
        <v>0</v>
      </c>
      <c r="CZ316" s="628">
        <v>0</v>
      </c>
      <c r="DA316" s="566"/>
      <c r="DB316" s="628">
        <v>0</v>
      </c>
      <c r="DC316" s="566"/>
      <c r="DD316" s="628">
        <v>0</v>
      </c>
      <c r="DE316" s="566"/>
      <c r="DF316" s="628">
        <v>0</v>
      </c>
      <c r="DG316" s="566"/>
      <c r="DH316" s="566"/>
      <c r="DI316" s="571"/>
      <c r="DJ316" s="558">
        <v>0</v>
      </c>
      <c r="DK316" s="572"/>
      <c r="DL316" s="558"/>
      <c r="DM316" s="558"/>
      <c r="DN316" s="571"/>
      <c r="DO316" s="571"/>
      <c r="DP316" s="571"/>
      <c r="DQ316" s="571"/>
      <c r="DR316" s="571"/>
      <c r="DS316" s="571"/>
      <c r="DT316" s="571"/>
      <c r="DU316" s="571" t="s">
        <v>1160</v>
      </c>
      <c r="DV316" s="571" t="b">
        <v>0</v>
      </c>
      <c r="DW316" s="571"/>
      <c r="DX316" s="571"/>
      <c r="DY316" s="571"/>
      <c r="DZ316" s="571"/>
      <c r="EA316" s="571"/>
      <c r="EB316" s="571"/>
      <c r="EC316" s="571"/>
      <c r="ED316" s="571"/>
      <c r="EE316" s="571"/>
      <c r="EF316" s="571"/>
      <c r="EG316" s="571" t="s">
        <v>1160</v>
      </c>
      <c r="EH316" s="571"/>
      <c r="EI316" s="571"/>
    </row>
    <row r="317" spans="1:139" s="544" customFormat="1" ht="39.75" customHeight="1">
      <c r="A317" s="539">
        <v>650</v>
      </c>
      <c r="B317" s="623">
        <v>36362</v>
      </c>
      <c r="C317" s="541">
        <v>36362.277777777781</v>
      </c>
      <c r="D317" s="624">
        <v>7015712</v>
      </c>
      <c r="E317" s="625" t="s">
        <v>1390</v>
      </c>
      <c r="F317" s="544" t="b">
        <v>1</v>
      </c>
      <c r="H317" s="571" t="s">
        <v>441</v>
      </c>
      <c r="I317" s="626">
        <v>18782</v>
      </c>
      <c r="J317" s="627">
        <v>48.164383561643838</v>
      </c>
      <c r="K317" s="546">
        <v>577.90927021696245</v>
      </c>
      <c r="L317" s="608" t="s">
        <v>493</v>
      </c>
      <c r="M317" s="603" t="s">
        <v>1391</v>
      </c>
      <c r="N317" s="544">
        <v>170</v>
      </c>
      <c r="O317" s="544">
        <v>58</v>
      </c>
      <c r="P317" s="544">
        <f t="shared" si="9"/>
        <v>20.069204152249139</v>
      </c>
      <c r="Q317" s="604">
        <v>36340</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607">
        <v>0</v>
      </c>
      <c r="AK317" s="552">
        <f t="shared" si="8"/>
        <v>0</v>
      </c>
      <c r="AL317" s="603"/>
      <c r="AM317" s="604">
        <v>36340</v>
      </c>
      <c r="AN317" s="605" t="s">
        <v>1865</v>
      </c>
      <c r="AO317" s="555">
        <v>36401</v>
      </c>
      <c r="AP317" s="608" t="s">
        <v>2174</v>
      </c>
      <c r="AQ317" s="604">
        <v>36340</v>
      </c>
      <c r="AR317" s="605">
        <v>1</v>
      </c>
      <c r="AS317" s="605" t="s">
        <v>1518</v>
      </c>
      <c r="AT317" s="607">
        <v>0</v>
      </c>
      <c r="AU317" s="605">
        <v>1</v>
      </c>
      <c r="AV317" s="605">
        <v>0</v>
      </c>
      <c r="AW317" s="605">
        <v>0</v>
      </c>
      <c r="AX317" s="558" t="s">
        <v>1392</v>
      </c>
      <c r="AY317" s="605"/>
      <c r="AZ317" s="605" t="s">
        <v>1503</v>
      </c>
      <c r="BA317" s="544">
        <v>0</v>
      </c>
      <c r="BB317" s="558">
        <v>1</v>
      </c>
      <c r="BC317" s="558"/>
      <c r="BD317" s="558">
        <v>0</v>
      </c>
      <c r="BE317" s="558">
        <v>0</v>
      </c>
      <c r="BF317" s="559">
        <v>1</v>
      </c>
      <c r="BG317" s="771">
        <v>1</v>
      </c>
      <c r="BH317" s="771" t="s">
        <v>2004</v>
      </c>
      <c r="BI317" s="609">
        <v>0</v>
      </c>
      <c r="BJ317" s="605"/>
      <c r="BK317" s="605">
        <v>0</v>
      </c>
      <c r="BL317" s="605"/>
      <c r="BM317" s="605">
        <v>0</v>
      </c>
      <c r="BN317" s="605"/>
      <c r="BO317" s="605">
        <v>0</v>
      </c>
      <c r="BP317" s="605">
        <v>0</v>
      </c>
      <c r="BQ317" s="605">
        <v>0</v>
      </c>
      <c r="BR317" s="605">
        <v>0</v>
      </c>
      <c r="BS317" s="610">
        <v>0</v>
      </c>
      <c r="BT317" s="573">
        <v>1</v>
      </c>
      <c r="BU317" s="574" t="s">
        <v>2175</v>
      </c>
      <c r="BV317" s="574">
        <v>0</v>
      </c>
      <c r="BW317" s="574">
        <v>0</v>
      </c>
      <c r="BX317" s="605">
        <v>0</v>
      </c>
      <c r="BY317" s="605"/>
      <c r="BZ317" s="605"/>
      <c r="CA317" s="605"/>
      <c r="CB317" s="605">
        <v>0</v>
      </c>
      <c r="CC317" s="605">
        <v>0</v>
      </c>
      <c r="CD317" s="605">
        <v>0</v>
      </c>
      <c r="CE317" s="605"/>
      <c r="CF317" s="605"/>
      <c r="CG317" s="605"/>
      <c r="CH317" s="605">
        <v>1</v>
      </c>
      <c r="CI317" s="596" t="s">
        <v>1626</v>
      </c>
      <c r="CJ317" s="558">
        <v>0</v>
      </c>
      <c r="CK317" s="558">
        <v>0</v>
      </c>
      <c r="CL317" s="608">
        <v>0</v>
      </c>
      <c r="CP317" s="564"/>
      <c r="CQ317" s="564"/>
      <c r="CR317" s="566">
        <v>36340</v>
      </c>
      <c r="CS317" s="566">
        <v>36444</v>
      </c>
      <c r="CT317" s="565">
        <v>82</v>
      </c>
      <c r="CU317" s="566">
        <v>44292</v>
      </c>
      <c r="CV317" s="628">
        <v>0</v>
      </c>
      <c r="CW317" s="566"/>
      <c r="CX317" s="628">
        <v>0</v>
      </c>
      <c r="CY317" s="628">
        <v>0</v>
      </c>
      <c r="CZ317" s="628">
        <v>0</v>
      </c>
      <c r="DA317" s="566"/>
      <c r="DB317" s="628">
        <v>0</v>
      </c>
      <c r="DC317" s="566"/>
      <c r="DD317" s="628">
        <v>0</v>
      </c>
      <c r="DE317" s="566"/>
      <c r="DF317" s="628">
        <v>1</v>
      </c>
      <c r="DG317" s="566">
        <v>44139</v>
      </c>
      <c r="DH317" s="566" t="s">
        <v>2161</v>
      </c>
      <c r="DI317" s="571"/>
      <c r="DJ317" s="558">
        <v>0</v>
      </c>
      <c r="DK317" s="572"/>
      <c r="DL317" s="558"/>
      <c r="DM317" s="558"/>
      <c r="DN317" s="571"/>
      <c r="DO317" s="571"/>
      <c r="DP317" s="571"/>
      <c r="DQ317" s="571"/>
      <c r="DR317" s="571"/>
      <c r="DS317" s="571"/>
      <c r="DT317" s="571"/>
      <c r="DU317" s="571"/>
      <c r="DV317" s="571" t="b">
        <v>0</v>
      </c>
      <c r="DW317" s="566">
        <v>36363</v>
      </c>
      <c r="DX317" s="571" t="s">
        <v>1393</v>
      </c>
      <c r="DY317" s="571" t="s">
        <v>1394</v>
      </c>
      <c r="DZ317" s="571"/>
      <c r="EA317" s="571"/>
      <c r="EB317" s="571"/>
      <c r="EC317" s="571"/>
      <c r="ED317" s="571"/>
      <c r="EE317" s="571"/>
      <c r="EF317" s="571"/>
      <c r="EG317" s="571" t="s">
        <v>1160</v>
      </c>
      <c r="EH317" s="571"/>
      <c r="EI317" s="571" t="s">
        <v>1160</v>
      </c>
    </row>
    <row r="318" spans="1:139" s="544" customFormat="1" ht="39.75" customHeight="1">
      <c r="A318" s="539">
        <v>654</v>
      </c>
      <c r="B318" s="623">
        <v>36236</v>
      </c>
      <c r="C318" s="541">
        <v>36236.291666666664</v>
      </c>
      <c r="D318" s="624">
        <v>6619186</v>
      </c>
      <c r="E318" s="625" t="s">
        <v>1395</v>
      </c>
      <c r="F318" s="544" t="b">
        <v>1</v>
      </c>
      <c r="H318" s="571" t="s">
        <v>441</v>
      </c>
      <c r="I318" s="626">
        <v>25463</v>
      </c>
      <c r="J318" s="627">
        <v>29.515068493150686</v>
      </c>
      <c r="K318" s="546">
        <v>354.14201183431953</v>
      </c>
      <c r="L318" s="608" t="s">
        <v>493</v>
      </c>
      <c r="M318" s="603" t="s">
        <v>1396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673">
        <v>0</v>
      </c>
      <c r="AK318" s="552">
        <f t="shared" si="8"/>
        <v>0</v>
      </c>
      <c r="AL318" s="674"/>
      <c r="AM318" s="671">
        <v>36225</v>
      </c>
      <c r="AN318" s="608" t="s">
        <v>1607</v>
      </c>
      <c r="AO318" s="555">
        <v>36261</v>
      </c>
      <c r="AP318" s="608" t="s">
        <v>2174</v>
      </c>
      <c r="AQ318" s="671">
        <v>36225</v>
      </c>
      <c r="AR318" s="608">
        <v>1</v>
      </c>
      <c r="AS318" s="605" t="s">
        <v>1518</v>
      </c>
      <c r="AT318" s="673">
        <v>0</v>
      </c>
      <c r="AU318" s="608">
        <v>1</v>
      </c>
      <c r="AV318" s="608">
        <v>0</v>
      </c>
      <c r="AW318" s="608">
        <v>1</v>
      </c>
      <c r="AX318" s="558" t="s">
        <v>1397</v>
      </c>
      <c r="AY318" s="608"/>
      <c r="AZ318" s="608" t="s">
        <v>1503</v>
      </c>
      <c r="BA318" s="544">
        <v>0</v>
      </c>
      <c r="BB318" s="558">
        <v>1</v>
      </c>
      <c r="BC318" s="558"/>
      <c r="BD318" s="558">
        <v>0</v>
      </c>
      <c r="BE318" s="558">
        <v>0</v>
      </c>
      <c r="BF318" s="559">
        <v>1</v>
      </c>
      <c r="BG318" s="771">
        <v>0</v>
      </c>
      <c r="BH318" s="771"/>
      <c r="BI318" s="675">
        <v>0</v>
      </c>
      <c r="BJ318" s="608"/>
      <c r="BK318" s="608">
        <v>0</v>
      </c>
      <c r="BL318" s="608"/>
      <c r="BM318" s="608">
        <v>0</v>
      </c>
      <c r="BN318" s="608"/>
      <c r="BO318" s="608">
        <v>0</v>
      </c>
      <c r="BP318" s="608">
        <v>0</v>
      </c>
      <c r="BQ318" s="608">
        <v>0</v>
      </c>
      <c r="BR318" s="608">
        <v>0</v>
      </c>
      <c r="BS318" s="676">
        <v>0</v>
      </c>
      <c r="BT318" s="675">
        <v>1</v>
      </c>
      <c r="BU318" s="608" t="s">
        <v>2176</v>
      </c>
      <c r="BV318" s="608">
        <v>0</v>
      </c>
      <c r="BW318" s="608">
        <v>0</v>
      </c>
      <c r="BX318" s="608">
        <v>0</v>
      </c>
      <c r="BY318" s="608"/>
      <c r="BZ318" s="608"/>
      <c r="CA318" s="608"/>
      <c r="CB318" s="608">
        <v>0</v>
      </c>
      <c r="CC318" s="608">
        <v>0</v>
      </c>
      <c r="CD318" s="608">
        <v>0</v>
      </c>
      <c r="CE318" s="608"/>
      <c r="CF318" s="608"/>
      <c r="CG318" s="608"/>
      <c r="CH318" s="608">
        <v>0</v>
      </c>
      <c r="CI318" s="608"/>
      <c r="CJ318" s="558">
        <v>0</v>
      </c>
      <c r="CK318" s="558">
        <v>0</v>
      </c>
      <c r="CL318" s="608">
        <v>0</v>
      </c>
      <c r="CP318" s="564"/>
      <c r="CQ318" s="564"/>
      <c r="CR318" s="566">
        <v>36230</v>
      </c>
      <c r="CS318" s="566">
        <v>36263</v>
      </c>
      <c r="CT318" s="565">
        <v>27</v>
      </c>
      <c r="CU318" s="566">
        <v>44315</v>
      </c>
      <c r="CV318" s="628">
        <v>0</v>
      </c>
      <c r="CW318" s="566"/>
      <c r="CX318" s="628">
        <v>0</v>
      </c>
      <c r="CY318" s="628">
        <v>0</v>
      </c>
      <c r="CZ318" s="628">
        <v>0</v>
      </c>
      <c r="DA318" s="566"/>
      <c r="DB318" s="628">
        <v>0</v>
      </c>
      <c r="DC318" s="566"/>
      <c r="DD318" s="628">
        <v>0</v>
      </c>
      <c r="DE318" s="566"/>
      <c r="DF318" s="628">
        <v>1</v>
      </c>
      <c r="DG318" s="566">
        <v>44225</v>
      </c>
      <c r="DH318" s="566" t="s">
        <v>2161</v>
      </c>
      <c r="DI318" s="571"/>
      <c r="DJ318" s="558">
        <v>0</v>
      </c>
      <c r="DK318" s="572"/>
      <c r="DL318" s="558"/>
      <c r="DM318" s="558"/>
      <c r="DN318" s="571"/>
      <c r="DO318" s="571"/>
      <c r="DP318" s="571"/>
      <c r="DQ318" s="571"/>
      <c r="DR318" s="571"/>
      <c r="DS318" s="571"/>
      <c r="DT318" s="571"/>
      <c r="DU318" s="571"/>
      <c r="DV318" s="571" t="b">
        <v>0</v>
      </c>
      <c r="DW318" s="571"/>
      <c r="DX318" s="571"/>
      <c r="DY318" s="571"/>
      <c r="DZ318" s="571"/>
      <c r="EA318" s="571"/>
      <c r="EB318" s="571"/>
      <c r="EC318" s="571"/>
      <c r="ED318" s="571"/>
      <c r="EE318" s="571"/>
      <c r="EF318" s="571"/>
      <c r="EG318" s="571" t="s">
        <v>1160</v>
      </c>
      <c r="EH318" s="571"/>
      <c r="EI318" s="571"/>
    </row>
    <row r="319" spans="1:139" s="48" customFormat="1" ht="39.75" customHeight="1">
      <c r="A319" s="60">
        <v>661</v>
      </c>
      <c r="B319" s="149">
        <v>35982</v>
      </c>
      <c r="C319" s="62">
        <v>35982.288888888892</v>
      </c>
      <c r="D319" s="150">
        <v>5397076</v>
      </c>
      <c r="E319" s="151" t="s">
        <v>1398</v>
      </c>
      <c r="F319" s="48" t="b">
        <v>0</v>
      </c>
      <c r="G319" s="48" t="s">
        <v>1558</v>
      </c>
      <c r="H319" s="143" t="s">
        <v>418</v>
      </c>
      <c r="I319" s="152">
        <v>20785</v>
      </c>
      <c r="J319" s="153">
        <v>41.635616438356166</v>
      </c>
      <c r="K319" s="85">
        <v>499.57264957264954</v>
      </c>
      <c r="L319" s="145" t="s">
        <v>493</v>
      </c>
      <c r="M319" s="617" t="s">
        <v>1399</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694"/>
      <c r="AK319" s="324">
        <f t="shared" si="8"/>
        <v>0</v>
      </c>
      <c r="AL319" s="617" t="s">
        <v>2177</v>
      </c>
      <c r="AM319" s="692">
        <v>39972</v>
      </c>
      <c r="AN319" s="145" t="s">
        <v>1598</v>
      </c>
      <c r="AO319" s="61"/>
      <c r="AP319" s="145" t="s">
        <v>1815</v>
      </c>
      <c r="AQ319" s="692">
        <v>35954</v>
      </c>
      <c r="AR319" s="145"/>
      <c r="AS319" s="145"/>
      <c r="AT319" s="694"/>
      <c r="AU319" s="145">
        <v>1</v>
      </c>
      <c r="AV319" s="145">
        <v>1</v>
      </c>
      <c r="AW319" s="145">
        <v>1</v>
      </c>
      <c r="AX319" s="82" t="s">
        <v>1400</v>
      </c>
      <c r="AY319" s="145"/>
      <c r="AZ319" s="145" t="s">
        <v>1503</v>
      </c>
      <c r="BB319" s="82"/>
      <c r="BC319" s="82"/>
      <c r="BD319" s="82"/>
      <c r="BE319" s="82"/>
      <c r="BF319" s="235"/>
      <c r="BG319" s="767"/>
      <c r="BH319" s="767"/>
      <c r="BI319" s="696"/>
      <c r="BJ319" s="145"/>
      <c r="BK319" s="145"/>
      <c r="BL319" s="145"/>
      <c r="BM319" s="145"/>
      <c r="BN319" s="145"/>
      <c r="BO319" s="145"/>
      <c r="BP319" s="145"/>
      <c r="BQ319" s="145"/>
      <c r="BR319" s="145"/>
      <c r="BS319" s="697"/>
      <c r="BT319" s="228" t="s">
        <v>1333</v>
      </c>
      <c r="BU319" s="138"/>
      <c r="BV319" s="138"/>
      <c r="BW319" s="138"/>
      <c r="BX319" s="145"/>
      <c r="BY319" s="145"/>
      <c r="BZ319" s="145"/>
      <c r="CA319" s="145"/>
      <c r="CB319" s="145"/>
      <c r="CC319" s="145"/>
      <c r="CD319" s="145"/>
      <c r="CE319" s="145"/>
      <c r="CF319" s="145">
        <v>1</v>
      </c>
      <c r="CG319" s="145"/>
      <c r="CH319" s="145" t="s">
        <v>155</v>
      </c>
      <c r="CI319" s="145"/>
      <c r="CJ319" s="82">
        <v>0</v>
      </c>
      <c r="CK319" s="82">
        <v>0</v>
      </c>
      <c r="CL319" s="145"/>
      <c r="CP319" s="505"/>
      <c r="CQ319" s="505"/>
      <c r="CR319" s="84">
        <v>35955</v>
      </c>
      <c r="CS319" s="84">
        <v>35994</v>
      </c>
      <c r="CT319" s="83">
        <v>12</v>
      </c>
      <c r="CU319" s="84"/>
      <c r="CV319" s="154"/>
      <c r="CW319" s="84"/>
      <c r="CX319" s="154"/>
      <c r="CY319" s="154"/>
      <c r="CZ319" s="154"/>
      <c r="DA319" s="84"/>
      <c r="DB319" s="154"/>
      <c r="DC319" s="84"/>
      <c r="DD319" s="154"/>
      <c r="DE319" s="84"/>
      <c r="DF319" s="154"/>
      <c r="DG319" s="84"/>
      <c r="DH319" s="84"/>
      <c r="DI319" s="143"/>
      <c r="DJ319" s="82">
        <v>0</v>
      </c>
      <c r="DK319" s="155"/>
      <c r="DL319" s="82"/>
      <c r="DM319" s="82"/>
      <c r="DN319" s="143"/>
      <c r="DO319" s="143"/>
      <c r="DP319" s="143"/>
      <c r="DQ319" s="143"/>
      <c r="DR319" s="143"/>
      <c r="DS319" s="143"/>
      <c r="DT319" s="143"/>
      <c r="DU319" s="143"/>
      <c r="DV319" s="143" t="b">
        <v>0</v>
      </c>
      <c r="DW319" s="143"/>
      <c r="DX319" s="143"/>
      <c r="DY319" s="143"/>
      <c r="DZ319" s="143"/>
      <c r="EA319" s="143"/>
      <c r="EB319" s="143"/>
      <c r="EC319" s="143"/>
      <c r="ED319" s="143"/>
      <c r="EE319" s="143"/>
      <c r="EF319" s="143"/>
      <c r="EG319" s="143" t="s">
        <v>1160</v>
      </c>
      <c r="EH319" s="143"/>
      <c r="EI319" s="143"/>
    </row>
    <row r="320" spans="1:139" s="544" customFormat="1" ht="39.75" customHeight="1">
      <c r="A320" s="539">
        <v>662</v>
      </c>
      <c r="B320" s="623">
        <v>35940</v>
      </c>
      <c r="C320" s="541">
        <v>35940.061805555553</v>
      </c>
      <c r="D320" s="624">
        <v>1451279</v>
      </c>
      <c r="E320" s="625" t="s">
        <v>1401</v>
      </c>
      <c r="F320" s="544" t="b">
        <v>1</v>
      </c>
      <c r="H320" s="571" t="s">
        <v>418</v>
      </c>
      <c r="I320" s="626">
        <v>25608</v>
      </c>
      <c r="J320" s="627">
        <v>28.306849315068494</v>
      </c>
      <c r="K320" s="546">
        <v>339.64497041420117</v>
      </c>
      <c r="L320" s="608" t="s">
        <v>1228</v>
      </c>
      <c r="M320" s="603" t="s">
        <v>1402</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673">
        <v>0</v>
      </c>
      <c r="AK320" s="552">
        <f t="shared" si="8"/>
        <v>1</v>
      </c>
      <c r="AL320" s="674"/>
      <c r="AM320" s="671">
        <v>35925</v>
      </c>
      <c r="AN320" s="608" t="s">
        <v>1598</v>
      </c>
      <c r="AO320" s="555">
        <v>35953</v>
      </c>
      <c r="AP320" s="608" t="s">
        <v>2163</v>
      </c>
      <c r="AQ320" s="671">
        <v>35923</v>
      </c>
      <c r="AR320" s="608">
        <v>0</v>
      </c>
      <c r="AS320" s="608"/>
      <c r="AT320" s="673">
        <v>0</v>
      </c>
      <c r="AU320" s="608">
        <v>1</v>
      </c>
      <c r="AV320" s="608">
        <v>1</v>
      </c>
      <c r="AW320" s="608">
        <v>1</v>
      </c>
      <c r="AX320" s="558" t="s">
        <v>1403</v>
      </c>
      <c r="AY320" s="608"/>
      <c r="AZ320" s="608" t="s">
        <v>1503</v>
      </c>
      <c r="BA320" s="544">
        <v>0</v>
      </c>
      <c r="BB320" s="558">
        <v>1</v>
      </c>
      <c r="BC320" s="558">
        <v>15</v>
      </c>
      <c r="BD320" s="558">
        <v>0</v>
      </c>
      <c r="BE320" s="558">
        <v>0</v>
      </c>
      <c r="BF320" s="559">
        <v>0</v>
      </c>
      <c r="BG320" s="771">
        <v>0</v>
      </c>
      <c r="BH320" s="771"/>
      <c r="BI320" s="675">
        <v>0</v>
      </c>
      <c r="BJ320" s="608"/>
      <c r="BK320" s="608">
        <v>0</v>
      </c>
      <c r="BL320" s="608"/>
      <c r="BM320" s="608">
        <v>0</v>
      </c>
      <c r="BN320" s="608"/>
      <c r="BO320" s="608">
        <v>0</v>
      </c>
      <c r="BP320" s="608">
        <v>0</v>
      </c>
      <c r="BQ320" s="608">
        <v>0</v>
      </c>
      <c r="BR320" s="608">
        <v>0</v>
      </c>
      <c r="BS320" s="676">
        <v>0</v>
      </c>
      <c r="BT320" s="573">
        <v>1</v>
      </c>
      <c r="BU320" s="574" t="s">
        <v>2175</v>
      </c>
      <c r="BV320" s="574">
        <v>0</v>
      </c>
      <c r="BW320" s="574">
        <v>0</v>
      </c>
      <c r="BX320" s="608">
        <v>0</v>
      </c>
      <c r="BY320" s="608"/>
      <c r="BZ320" s="608"/>
      <c r="CA320" s="608"/>
      <c r="CB320" s="608">
        <v>0</v>
      </c>
      <c r="CC320" s="608">
        <v>0</v>
      </c>
      <c r="CD320" s="608">
        <v>0</v>
      </c>
      <c r="CE320" s="608"/>
      <c r="CF320" s="608"/>
      <c r="CG320" s="608"/>
      <c r="CH320" s="608">
        <v>0</v>
      </c>
      <c r="CI320" s="608"/>
      <c r="CJ320" s="558">
        <v>0</v>
      </c>
      <c r="CK320" s="558">
        <v>0</v>
      </c>
      <c r="CL320" s="608">
        <v>0</v>
      </c>
      <c r="CP320" s="564"/>
      <c r="CQ320" s="564"/>
      <c r="CR320" s="566">
        <v>35925</v>
      </c>
      <c r="CS320" s="566">
        <v>35954</v>
      </c>
      <c r="CT320" s="565">
        <v>14</v>
      </c>
      <c r="CU320" s="566">
        <v>44334</v>
      </c>
      <c r="CV320" s="628">
        <v>0</v>
      </c>
      <c r="CW320" s="566"/>
      <c r="CX320" s="628">
        <v>0</v>
      </c>
      <c r="CY320" s="628">
        <v>0</v>
      </c>
      <c r="CZ320" s="628">
        <v>0</v>
      </c>
      <c r="DA320" s="566"/>
      <c r="DB320" s="628">
        <v>0</v>
      </c>
      <c r="DC320" s="566"/>
      <c r="DD320" s="628">
        <v>0</v>
      </c>
      <c r="DE320" s="566"/>
      <c r="DF320" s="628">
        <v>0</v>
      </c>
      <c r="DG320" s="566"/>
      <c r="DH320" s="566"/>
      <c r="DI320" s="571"/>
      <c r="DJ320" s="558">
        <v>0</v>
      </c>
      <c r="DK320" s="572"/>
      <c r="DL320" s="558"/>
      <c r="DM320" s="558"/>
      <c r="DN320" s="571"/>
      <c r="DO320" s="571"/>
      <c r="DP320" s="571"/>
      <c r="DQ320" s="571"/>
      <c r="DR320" s="571"/>
      <c r="DS320" s="571"/>
      <c r="DT320" s="571"/>
      <c r="DU320" s="571"/>
      <c r="DV320" s="571" t="b">
        <v>0</v>
      </c>
      <c r="DW320" s="571"/>
      <c r="DX320" s="571"/>
      <c r="DY320" s="571"/>
      <c r="DZ320" s="571"/>
      <c r="EA320" s="571"/>
      <c r="EB320" s="571"/>
      <c r="EC320" s="571"/>
      <c r="ED320" s="571"/>
      <c r="EE320" s="571"/>
      <c r="EF320" s="571"/>
      <c r="EG320" s="571" t="s">
        <v>1160</v>
      </c>
      <c r="EH320" s="571"/>
      <c r="EI320" s="571"/>
    </row>
    <row r="321" spans="1:139" s="48" customFormat="1" ht="39.75" customHeight="1">
      <c r="A321" s="60">
        <v>663</v>
      </c>
      <c r="B321" s="149">
        <v>35893</v>
      </c>
      <c r="C321" s="62">
        <v>35893.496527777781</v>
      </c>
      <c r="D321" s="150">
        <v>2752777</v>
      </c>
      <c r="E321" s="151" t="s">
        <v>1404</v>
      </c>
      <c r="F321" s="48" t="b">
        <v>0</v>
      </c>
      <c r="G321" s="48" t="s">
        <v>1558</v>
      </c>
      <c r="H321" s="143" t="s">
        <v>418</v>
      </c>
      <c r="I321" s="152">
        <v>16019</v>
      </c>
      <c r="J321" s="153">
        <v>54.449315068493149</v>
      </c>
      <c r="K321" s="85">
        <v>653.32018408941485</v>
      </c>
      <c r="L321" s="145" t="s">
        <v>493</v>
      </c>
      <c r="M321" s="617" t="s">
        <v>1405</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694"/>
      <c r="AK321" s="324">
        <f t="shared" si="8"/>
        <v>1</v>
      </c>
      <c r="AL321" s="695"/>
      <c r="AM321" s="692">
        <v>35866</v>
      </c>
      <c r="AN321" s="145" t="s">
        <v>2061</v>
      </c>
      <c r="AO321" s="61">
        <v>35894</v>
      </c>
      <c r="AP321" s="145" t="s">
        <v>2178</v>
      </c>
      <c r="AQ321" s="692">
        <v>35865</v>
      </c>
      <c r="AR321" s="145">
        <v>0</v>
      </c>
      <c r="AS321" s="145"/>
      <c r="AT321" s="694">
        <v>0</v>
      </c>
      <c r="AU321" s="145">
        <v>0</v>
      </c>
      <c r="AV321" s="145">
        <v>0</v>
      </c>
      <c r="AW321" s="145">
        <v>1</v>
      </c>
      <c r="AX321" s="82" t="s">
        <v>1403</v>
      </c>
      <c r="AY321" s="145"/>
      <c r="AZ321" s="145" t="s">
        <v>1537</v>
      </c>
      <c r="BB321" s="82"/>
      <c r="BC321" s="82"/>
      <c r="BD321" s="82"/>
      <c r="BE321" s="82"/>
      <c r="BF321" s="235"/>
      <c r="BG321" s="767"/>
      <c r="BH321" s="767"/>
      <c r="BI321" s="696"/>
      <c r="BJ321" s="145"/>
      <c r="BK321" s="145"/>
      <c r="BL321" s="145"/>
      <c r="BM321" s="145"/>
      <c r="BN321" s="145"/>
      <c r="BO321" s="145"/>
      <c r="BP321" s="145"/>
      <c r="BQ321" s="145"/>
      <c r="BR321" s="145"/>
      <c r="BS321" s="697"/>
      <c r="BT321" s="228" t="s">
        <v>1333</v>
      </c>
      <c r="BU321" s="138"/>
      <c r="BV321" s="138"/>
      <c r="BW321" s="138"/>
      <c r="BX321" s="145"/>
      <c r="BY321" s="145"/>
      <c r="BZ321" s="145"/>
      <c r="CA321" s="145"/>
      <c r="CB321" s="145"/>
      <c r="CC321" s="145"/>
      <c r="CD321" s="145"/>
      <c r="CE321" s="145"/>
      <c r="CF321" s="145"/>
      <c r="CG321" s="145"/>
      <c r="CH321" s="145"/>
      <c r="CI321" s="145"/>
      <c r="CJ321" s="82">
        <v>0</v>
      </c>
      <c r="CK321" s="82">
        <v>0</v>
      </c>
      <c r="CL321" s="145"/>
      <c r="CP321" s="505"/>
      <c r="CQ321" s="505"/>
      <c r="CR321" s="84">
        <v>35865</v>
      </c>
      <c r="CS321" s="84">
        <v>35914</v>
      </c>
      <c r="CT321" s="83">
        <v>21</v>
      </c>
      <c r="CU321" s="84"/>
      <c r="CV321" s="154"/>
      <c r="CW321" s="84"/>
      <c r="CX321" s="154"/>
      <c r="CY321" s="154"/>
      <c r="CZ321" s="154"/>
      <c r="DA321" s="84"/>
      <c r="DB321" s="154"/>
      <c r="DC321" s="84"/>
      <c r="DD321" s="154"/>
      <c r="DE321" s="84"/>
      <c r="DF321" s="154"/>
      <c r="DG321" s="84"/>
      <c r="DH321" s="84"/>
      <c r="DI321" s="143"/>
      <c r="DJ321" s="82">
        <v>0</v>
      </c>
      <c r="DK321" s="155"/>
      <c r="DL321" s="82"/>
      <c r="DM321" s="82"/>
      <c r="DN321" s="143"/>
      <c r="DO321" s="143"/>
      <c r="DP321" s="143"/>
      <c r="DQ321" s="143"/>
      <c r="DR321" s="143"/>
      <c r="DS321" s="143"/>
      <c r="DT321" s="143"/>
      <c r="DU321" s="143"/>
      <c r="DV321" s="143" t="b">
        <v>0</v>
      </c>
      <c r="DW321" s="143"/>
      <c r="DX321" s="143"/>
      <c r="DY321" s="143"/>
      <c r="DZ321" s="143"/>
      <c r="EA321" s="143"/>
      <c r="EB321" s="143"/>
      <c r="EC321" s="143"/>
      <c r="ED321" s="143"/>
      <c r="EE321" s="143"/>
      <c r="EF321" s="143"/>
      <c r="EG321" s="143" t="s">
        <v>1160</v>
      </c>
      <c r="EH321" s="143"/>
      <c r="EI321" s="143"/>
    </row>
    <row r="322" spans="1:139" s="48" customFormat="1" ht="39.75" customHeight="1">
      <c r="A322" s="60">
        <v>664</v>
      </c>
      <c r="B322" s="149">
        <v>35851</v>
      </c>
      <c r="C322" s="62">
        <v>35851.118055555555</v>
      </c>
      <c r="D322" s="150">
        <v>4356683</v>
      </c>
      <c r="E322" s="151" t="s">
        <v>1406</v>
      </c>
      <c r="F322" s="48" t="b">
        <v>0</v>
      </c>
      <c r="G322" s="48" t="s">
        <v>1558</v>
      </c>
      <c r="H322" s="143" t="s">
        <v>418</v>
      </c>
      <c r="I322" s="152">
        <v>23950</v>
      </c>
      <c r="J322" s="153">
        <v>32.605479452054794</v>
      </c>
      <c r="K322" s="85">
        <v>391.2228796844181</v>
      </c>
      <c r="L322" s="143" t="s">
        <v>493</v>
      </c>
      <c r="M322" s="688" t="s">
        <v>1407</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c r="AK322" s="324">
        <f t="shared" si="8"/>
        <v>0</v>
      </c>
      <c r="AL322" s="187"/>
      <c r="AM322" s="191"/>
      <c r="AN322" s="51"/>
      <c r="AO322" s="61"/>
      <c r="AP322" s="60"/>
      <c r="AQ322" s="191"/>
      <c r="AR322" s="51"/>
      <c r="AS322" s="51"/>
      <c r="AT322" s="324"/>
      <c r="AU322" s="51"/>
      <c r="AV322" s="51"/>
      <c r="AW322" s="51"/>
      <c r="AX322" s="82" t="s">
        <v>1408</v>
      </c>
      <c r="AY322" s="82"/>
      <c r="AZ322" s="82">
        <v>1</v>
      </c>
      <c r="BB322" s="82"/>
      <c r="BC322" s="82" t="e">
        <v>#REF!</v>
      </c>
      <c r="BD322" s="82"/>
      <c r="BE322" s="82"/>
      <c r="BF322" s="235"/>
      <c r="BG322" s="767"/>
      <c r="BH322" s="767"/>
      <c r="BI322" s="229">
        <v>1</v>
      </c>
      <c r="BJ322" s="82"/>
      <c r="BK322" s="82"/>
      <c r="BL322" s="82"/>
      <c r="BM322" s="82"/>
      <c r="BN322" s="82"/>
      <c r="BO322" s="82"/>
      <c r="BP322" s="82"/>
      <c r="BQ322" s="82"/>
      <c r="BR322" s="82"/>
      <c r="BS322" s="249" t="s">
        <v>424</v>
      </c>
      <c r="BT322" s="229"/>
      <c r="BU322" s="82"/>
      <c r="BV322" s="82"/>
      <c r="BW322" s="82"/>
      <c r="BX322" s="82"/>
      <c r="BY322" s="82"/>
      <c r="BZ322" s="82"/>
      <c r="CA322" s="71" t="e">
        <v>#REF!</v>
      </c>
      <c r="CB322" s="157"/>
      <c r="CC322" s="157"/>
      <c r="CD322" s="157"/>
      <c r="CE322" s="157"/>
      <c r="CF322" s="157"/>
      <c r="CG322" s="82"/>
      <c r="CH322" s="82"/>
      <c r="CI322" s="82"/>
      <c r="CJ322" s="82">
        <v>0</v>
      </c>
      <c r="CK322" s="82">
        <v>0</v>
      </c>
      <c r="CL322" s="145"/>
      <c r="CP322" s="505"/>
      <c r="CQ322" s="505"/>
      <c r="CR322" s="84">
        <v>35849</v>
      </c>
      <c r="CS322" s="84">
        <v>35871</v>
      </c>
      <c r="CT322" s="83">
        <v>20</v>
      </c>
      <c r="CU322" s="84"/>
      <c r="CV322" s="154"/>
      <c r="CW322" s="84"/>
      <c r="CX322" s="154"/>
      <c r="CY322" s="154"/>
      <c r="CZ322" s="154"/>
      <c r="DA322" s="84"/>
      <c r="DB322" s="154"/>
      <c r="DC322" s="84"/>
      <c r="DD322" s="154"/>
      <c r="DE322" s="84"/>
      <c r="DF322" s="154"/>
      <c r="DG322" s="84"/>
      <c r="DH322" s="87" t="s">
        <v>220</v>
      </c>
      <c r="DI322" s="143"/>
      <c r="DJ322" s="82">
        <v>0</v>
      </c>
      <c r="DK322" s="155"/>
      <c r="DL322" s="82"/>
      <c r="DM322" s="82"/>
      <c r="DN322" s="143"/>
      <c r="DO322" s="143"/>
      <c r="DP322" s="143"/>
      <c r="DQ322" s="143"/>
      <c r="DR322" s="143"/>
      <c r="DS322" s="143"/>
      <c r="DT322" s="143"/>
      <c r="DU322" s="143"/>
      <c r="DV322" s="143" t="b">
        <v>0</v>
      </c>
      <c r="DW322" s="84">
        <v>35863</v>
      </c>
      <c r="DX322" s="143" t="s">
        <v>1409</v>
      </c>
      <c r="DY322" s="82" t="s">
        <v>1410</v>
      </c>
      <c r="DZ322" s="143"/>
      <c r="EA322" s="143"/>
      <c r="EB322" s="143"/>
      <c r="EC322" s="143"/>
      <c r="ED322" s="143"/>
      <c r="EE322" s="143"/>
      <c r="EF322" s="143"/>
      <c r="EG322" s="143" t="s">
        <v>1160</v>
      </c>
      <c r="EH322" s="143"/>
      <c r="EI322" s="143"/>
    </row>
    <row r="323" spans="1:139" s="48" customFormat="1" ht="39.75" customHeight="1">
      <c r="A323" s="60">
        <v>665</v>
      </c>
      <c r="B323" s="149">
        <v>35772</v>
      </c>
      <c r="C323" s="62">
        <v>35772.381944444445</v>
      </c>
      <c r="D323" s="150">
        <v>4563735</v>
      </c>
      <c r="E323" s="151" t="s">
        <v>1411</v>
      </c>
      <c r="F323" s="48" t="b">
        <v>0</v>
      </c>
      <c r="G323" s="48" t="s">
        <v>1674</v>
      </c>
      <c r="H323" s="143" t="s">
        <v>418</v>
      </c>
      <c r="I323" s="152">
        <v>19504</v>
      </c>
      <c r="J323" s="153">
        <v>44.56986301369863</v>
      </c>
      <c r="K323" s="85">
        <v>534.77975016436551</v>
      </c>
      <c r="L323" s="145" t="s">
        <v>493</v>
      </c>
      <c r="M323" s="617" t="s">
        <v>1412</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694"/>
      <c r="AK323" s="324">
        <f t="shared" ref="AK323:AK333" si="10">IF(P323&gt;25,1,0)</f>
        <v>1</v>
      </c>
      <c r="AL323" s="695"/>
      <c r="AM323" s="692"/>
      <c r="AN323" s="145"/>
      <c r="AO323" s="61"/>
      <c r="AP323" s="145"/>
      <c r="AQ323" s="692"/>
      <c r="AR323" s="145"/>
      <c r="AS323" s="145"/>
      <c r="AT323" s="694"/>
      <c r="AU323" s="145"/>
      <c r="AV323" s="145"/>
      <c r="AW323" s="145"/>
      <c r="AX323" s="82" t="s">
        <v>1413</v>
      </c>
      <c r="AY323" s="145"/>
      <c r="AZ323" s="145">
        <v>1</v>
      </c>
      <c r="BB323" s="82"/>
      <c r="BC323" s="82"/>
      <c r="BD323" s="82"/>
      <c r="BE323" s="82"/>
      <c r="BF323" s="235"/>
      <c r="BG323" s="767"/>
      <c r="BH323" s="767"/>
      <c r="BI323" s="696"/>
      <c r="BJ323" s="145"/>
      <c r="BK323" s="145"/>
      <c r="BL323" s="145"/>
      <c r="BM323" s="145"/>
      <c r="BN323" s="145"/>
      <c r="BO323" s="145"/>
      <c r="BP323" s="145"/>
      <c r="BQ323" s="145"/>
      <c r="BR323" s="145"/>
      <c r="BS323" s="697"/>
      <c r="BT323" s="228" t="s">
        <v>1333</v>
      </c>
      <c r="BU323" s="138"/>
      <c r="BV323" s="138"/>
      <c r="BW323" s="138"/>
      <c r="BX323" s="145"/>
      <c r="BY323" s="145"/>
      <c r="BZ323" s="145"/>
      <c r="CA323" s="145"/>
      <c r="CB323" s="145"/>
      <c r="CC323" s="145"/>
      <c r="CD323" s="145"/>
      <c r="CE323" s="145"/>
      <c r="CF323" s="145"/>
      <c r="CG323" s="145"/>
      <c r="CH323" s="145"/>
      <c r="CI323" s="145"/>
      <c r="CJ323" s="82">
        <v>0</v>
      </c>
      <c r="CK323" s="82">
        <v>0</v>
      </c>
      <c r="CL323" s="145"/>
      <c r="CP323" s="505"/>
      <c r="CQ323" s="505"/>
      <c r="CR323" s="84">
        <v>35769</v>
      </c>
      <c r="CS323" s="84">
        <v>35783</v>
      </c>
      <c r="CT323" s="83">
        <v>11</v>
      </c>
      <c r="CU323" s="84"/>
      <c r="CV323" s="154"/>
      <c r="CW323" s="84"/>
      <c r="CX323" s="154"/>
      <c r="CY323" s="154"/>
      <c r="CZ323" s="154"/>
      <c r="DA323" s="84"/>
      <c r="DB323" s="154"/>
      <c r="DC323" s="84"/>
      <c r="DD323" s="154"/>
      <c r="DE323" s="84"/>
      <c r="DF323" s="154"/>
      <c r="DG323" s="84"/>
      <c r="DH323" s="84"/>
      <c r="DI323" s="143"/>
      <c r="DJ323" s="82">
        <v>0</v>
      </c>
      <c r="DK323" s="155"/>
      <c r="DL323" s="82"/>
      <c r="DM323" s="82"/>
      <c r="DN323" s="143"/>
      <c r="DO323" s="143"/>
      <c r="DP323" s="143"/>
      <c r="DQ323" s="143"/>
      <c r="DR323" s="143"/>
      <c r="DS323" s="143"/>
      <c r="DT323" s="143"/>
      <c r="DU323" s="143"/>
      <c r="DV323" s="143" t="b">
        <v>0</v>
      </c>
      <c r="DW323" s="84">
        <v>36654</v>
      </c>
      <c r="DX323" s="143" t="s">
        <v>1222</v>
      </c>
      <c r="DY323" s="143" t="s">
        <v>1414</v>
      </c>
      <c r="DZ323" s="143"/>
      <c r="EA323" s="143"/>
      <c r="EB323" s="143"/>
      <c r="EC323" s="143"/>
      <c r="ED323" s="143"/>
      <c r="EE323" s="143"/>
      <c r="EF323" s="143"/>
      <c r="EG323" s="143" t="s">
        <v>1160</v>
      </c>
      <c r="EH323" s="143"/>
      <c r="EI323" s="143"/>
    </row>
    <row r="324" spans="1:139" s="48" customFormat="1" ht="39.75" customHeight="1">
      <c r="A324" s="60">
        <v>666</v>
      </c>
      <c r="B324" s="149">
        <v>35752</v>
      </c>
      <c r="C324" s="62">
        <v>35752.604166666664</v>
      </c>
      <c r="D324" s="150">
        <v>4575064</v>
      </c>
      <c r="E324" s="151" t="s">
        <v>1415</v>
      </c>
      <c r="F324" s="48" t="b">
        <v>0</v>
      </c>
      <c r="G324" s="48" t="s">
        <v>1674</v>
      </c>
      <c r="H324" s="143" t="s">
        <v>441</v>
      </c>
      <c r="I324" s="152">
        <v>15528</v>
      </c>
      <c r="J324" s="153">
        <v>55.408219178082192</v>
      </c>
      <c r="K324" s="85">
        <v>664.82577251808016</v>
      </c>
      <c r="L324" s="143" t="s">
        <v>493</v>
      </c>
      <c r="M324" s="688" t="s">
        <v>1416</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710"/>
      <c r="AK324" s="324">
        <f t="shared" si="10"/>
        <v>0</v>
      </c>
      <c r="AL324" s="711"/>
      <c r="AM324" s="712"/>
      <c r="AN324" s="82"/>
      <c r="AO324" s="61"/>
      <c r="AP324" s="82"/>
      <c r="AQ324" s="712"/>
      <c r="AR324" s="82"/>
      <c r="AS324" s="82"/>
      <c r="AT324" s="710"/>
      <c r="AU324" s="82">
        <v>1</v>
      </c>
      <c r="AV324" s="82"/>
      <c r="AW324" s="82"/>
      <c r="AX324" s="82" t="s">
        <v>1417</v>
      </c>
      <c r="AY324" s="82" t="s">
        <v>2179</v>
      </c>
      <c r="AZ324" s="82" t="s">
        <v>1494</v>
      </c>
      <c r="BB324" s="82"/>
      <c r="BC324" s="82"/>
      <c r="BD324" s="82"/>
      <c r="BE324" s="82"/>
      <c r="BF324" s="235"/>
      <c r="BG324" s="767"/>
      <c r="BH324" s="767"/>
      <c r="BI324" s="229"/>
      <c r="BJ324" s="82"/>
      <c r="BK324" s="82"/>
      <c r="BL324" s="82"/>
      <c r="BM324" s="82"/>
      <c r="BN324" s="82"/>
      <c r="BO324" s="82"/>
      <c r="BP324" s="82"/>
      <c r="BQ324" s="82"/>
      <c r="BR324" s="82"/>
      <c r="BS324" s="235"/>
      <c r="BT324" s="228" t="s">
        <v>1333</v>
      </c>
      <c r="BU324" s="138"/>
      <c r="BV324" s="138"/>
      <c r="BW324" s="138"/>
      <c r="BX324" s="82"/>
      <c r="BY324" s="82"/>
      <c r="BZ324" s="82"/>
      <c r="CA324" s="82"/>
      <c r="CB324" s="82"/>
      <c r="CC324" s="82"/>
      <c r="CD324" s="82"/>
      <c r="CE324" s="82"/>
      <c r="CF324" s="82" t="s">
        <v>2179</v>
      </c>
      <c r="CG324" s="82"/>
      <c r="CH324" s="82"/>
      <c r="CI324" s="82"/>
      <c r="CJ324" s="82">
        <v>0</v>
      </c>
      <c r="CK324" s="82">
        <v>0</v>
      </c>
      <c r="CL324" s="145"/>
      <c r="CP324" s="505"/>
      <c r="CQ324" s="505"/>
      <c r="CR324" s="84">
        <v>35746</v>
      </c>
      <c r="CS324" s="84">
        <v>35819</v>
      </c>
      <c r="CT324" s="83">
        <v>67</v>
      </c>
      <c r="CU324" s="84"/>
      <c r="CV324" s="154"/>
      <c r="CW324" s="84"/>
      <c r="CX324" s="154"/>
      <c r="CY324" s="154"/>
      <c r="CZ324" s="154"/>
      <c r="DA324" s="84"/>
      <c r="DB324" s="154"/>
      <c r="DC324" s="84"/>
      <c r="DD324" s="154"/>
      <c r="DE324" s="84"/>
      <c r="DF324" s="154"/>
      <c r="DG324" s="84"/>
      <c r="DH324" s="84"/>
      <c r="DI324" s="143"/>
      <c r="DJ324" s="82">
        <v>1</v>
      </c>
      <c r="DK324" s="155">
        <v>144.017094017094</v>
      </c>
      <c r="DL324" s="82"/>
      <c r="DM324" s="82" t="b">
        <v>1</v>
      </c>
      <c r="DN324" s="84">
        <v>40133</v>
      </c>
      <c r="DO324" s="143" t="s">
        <v>1418</v>
      </c>
      <c r="DP324" s="143"/>
      <c r="DQ324" s="143"/>
      <c r="DR324" s="143"/>
      <c r="DS324" s="143"/>
      <c r="DT324" s="143"/>
      <c r="DU324" s="143"/>
      <c r="DV324" s="143" t="b">
        <v>0</v>
      </c>
      <c r="DW324" s="143"/>
      <c r="DX324" s="143"/>
      <c r="DY324" s="143"/>
      <c r="DZ324" s="143"/>
      <c r="EA324" s="143"/>
      <c r="EB324" s="143"/>
      <c r="EC324" s="143"/>
      <c r="ED324" s="143"/>
      <c r="EE324" s="143"/>
      <c r="EF324" s="143"/>
      <c r="EG324" s="143" t="s">
        <v>1160</v>
      </c>
      <c r="EH324" s="143"/>
      <c r="EI324" s="143"/>
    </row>
    <row r="325" spans="1:139" s="48" customFormat="1" ht="39.75" customHeight="1">
      <c r="A325" s="60">
        <v>667</v>
      </c>
      <c r="B325" s="163">
        <v>35748</v>
      </c>
      <c r="C325" s="62">
        <v>35748.291666666664</v>
      </c>
      <c r="D325" s="164">
        <v>4512087</v>
      </c>
      <c r="E325" s="165" t="s">
        <v>1419</v>
      </c>
      <c r="F325" s="48" t="b">
        <v>0</v>
      </c>
      <c r="G325" s="48" t="s">
        <v>1487</v>
      </c>
      <c r="H325" s="166" t="s">
        <v>441</v>
      </c>
      <c r="I325" s="167">
        <v>18923</v>
      </c>
      <c r="J325" s="168">
        <v>46.095890410958901</v>
      </c>
      <c r="K325" s="169">
        <v>553.0900723208415</v>
      </c>
      <c r="L325" s="166" t="s">
        <v>1420</v>
      </c>
      <c r="M325" s="714" t="s">
        <v>1421</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716"/>
      <c r="AK325" s="324">
        <f t="shared" si="10"/>
        <v>0</v>
      </c>
      <c r="AL325" s="714"/>
      <c r="AM325" s="717"/>
      <c r="AN325" s="715"/>
      <c r="AO325" s="61"/>
      <c r="AP325" s="718"/>
      <c r="AQ325" s="717"/>
      <c r="AR325" s="715"/>
      <c r="AS325" s="715"/>
      <c r="AT325" s="716"/>
      <c r="AU325" s="715"/>
      <c r="AV325" s="715"/>
      <c r="AW325" s="715"/>
      <c r="AX325" s="719" t="s">
        <v>1422</v>
      </c>
      <c r="AY325" s="715"/>
      <c r="AZ325" s="715"/>
      <c r="BB325" s="171"/>
      <c r="BC325" s="171"/>
      <c r="BD325" s="171"/>
      <c r="BE325" s="171"/>
      <c r="BF325" s="237"/>
      <c r="BG325" s="772"/>
      <c r="BH325" s="772"/>
      <c r="BI325" s="715"/>
      <c r="BJ325" s="715"/>
      <c r="BK325" s="715"/>
      <c r="BL325" s="715"/>
      <c r="BM325" s="715"/>
      <c r="BN325" s="715"/>
      <c r="BO325" s="715"/>
      <c r="BP325" s="715"/>
      <c r="BQ325" s="715"/>
      <c r="BR325" s="715"/>
      <c r="BS325" s="720"/>
      <c r="BT325" s="171" t="s">
        <v>1333</v>
      </c>
      <c r="BU325" s="171"/>
      <c r="BV325" s="171"/>
      <c r="BW325" s="171"/>
      <c r="BX325" s="715"/>
      <c r="BY325" s="715"/>
      <c r="BZ325" s="715"/>
      <c r="CA325" s="715"/>
      <c r="CB325" s="715"/>
      <c r="CC325" s="715"/>
      <c r="CD325" s="715"/>
      <c r="CE325" s="715"/>
      <c r="CF325" s="715">
        <v>1</v>
      </c>
      <c r="CG325" s="715"/>
      <c r="CH325" s="715"/>
      <c r="CI325" s="715"/>
      <c r="CJ325" s="171">
        <v>0</v>
      </c>
      <c r="CK325" s="171">
        <v>0</v>
      </c>
      <c r="CL325" s="173"/>
      <c r="CP325" s="505"/>
      <c r="CQ325" s="505"/>
      <c r="CR325" s="174">
        <v>35731</v>
      </c>
      <c r="CS325" s="174">
        <v>35777</v>
      </c>
      <c r="CT325" s="175">
        <v>29</v>
      </c>
      <c r="CU325" s="174"/>
      <c r="CV325" s="176"/>
      <c r="CW325" s="174"/>
      <c r="CX325" s="176"/>
      <c r="CY325" s="176"/>
      <c r="CZ325" s="176"/>
      <c r="DA325" s="174"/>
      <c r="DB325" s="176"/>
      <c r="DC325" s="174"/>
      <c r="DD325" s="176"/>
      <c r="DE325" s="174"/>
      <c r="DF325" s="176"/>
      <c r="DG325" s="174"/>
      <c r="DH325" s="174"/>
      <c r="DI325" s="166"/>
      <c r="DJ325" s="171">
        <v>0</v>
      </c>
      <c r="DK325" s="177"/>
      <c r="DL325" s="171"/>
      <c r="DM325" s="171"/>
      <c r="DN325" s="166"/>
      <c r="DO325" s="166"/>
      <c r="DP325" s="166"/>
      <c r="DQ325" s="166"/>
      <c r="DR325" s="166"/>
      <c r="DS325" s="166"/>
      <c r="DT325" s="166"/>
      <c r="DU325" s="166"/>
      <c r="DV325" s="166" t="b">
        <v>0</v>
      </c>
      <c r="DW325" s="166"/>
      <c r="DX325" s="166"/>
      <c r="DY325" s="166"/>
      <c r="DZ325" s="166"/>
      <c r="EA325" s="166"/>
      <c r="EB325" s="166"/>
      <c r="EC325" s="166"/>
      <c r="ED325" s="166"/>
      <c r="EE325" s="166"/>
      <c r="EF325" s="166"/>
      <c r="EG325" s="166" t="s">
        <v>1160</v>
      </c>
      <c r="EH325" s="166"/>
      <c r="EI325" s="166"/>
    </row>
    <row r="326" spans="1:139" s="48" customFormat="1" ht="39.75" customHeight="1">
      <c r="A326" s="60">
        <v>671</v>
      </c>
      <c r="B326" s="163">
        <v>35579</v>
      </c>
      <c r="C326" s="62">
        <v>35579.279166666667</v>
      </c>
      <c r="D326" s="164">
        <v>3524935</v>
      </c>
      <c r="E326" s="165" t="s">
        <v>1423</v>
      </c>
      <c r="F326" s="48" t="b">
        <v>0</v>
      </c>
      <c r="G326" s="48" t="s">
        <v>1487</v>
      </c>
      <c r="H326" s="166" t="s">
        <v>418</v>
      </c>
      <c r="I326" s="167">
        <v>13762</v>
      </c>
      <c r="J326" s="168">
        <v>59.772602739726025</v>
      </c>
      <c r="K326" s="169">
        <v>717.19263642340559</v>
      </c>
      <c r="L326" s="166" t="s">
        <v>493</v>
      </c>
      <c r="M326" s="721" t="s">
        <v>1424</v>
      </c>
      <c r="P326" s="48" t="e">
        <f t="shared" si="11"/>
        <v>#DIV/0!</v>
      </c>
      <c r="Q326" s="171"/>
      <c r="V326" s="171"/>
      <c r="Y326" s="216"/>
      <c r="Z326" s="722"/>
      <c r="AA326" s="722"/>
      <c r="AB326" s="722"/>
      <c r="AC326" s="722"/>
      <c r="AD326" s="722"/>
      <c r="AE326" s="722"/>
      <c r="AF326" s="722"/>
      <c r="AG326" s="722"/>
      <c r="AH326" s="722"/>
      <c r="AI326" s="722"/>
      <c r="AJ326" s="722"/>
      <c r="AK326" s="324" t="e">
        <f t="shared" si="10"/>
        <v>#DIV/0!</v>
      </c>
      <c r="AL326" s="723"/>
      <c r="AM326" s="724"/>
      <c r="AN326" s="171"/>
      <c r="AO326" s="61"/>
      <c r="AP326" s="171"/>
      <c r="AQ326" s="724"/>
      <c r="AR326" s="171"/>
      <c r="AS326" s="171"/>
      <c r="AT326" s="722"/>
      <c r="AU326" s="171"/>
      <c r="AV326" s="171"/>
      <c r="AW326" s="171"/>
      <c r="AX326" s="171" t="s">
        <v>1425</v>
      </c>
      <c r="AY326" s="171"/>
      <c r="AZ326" s="171"/>
      <c r="BB326" s="171"/>
      <c r="BC326" s="171"/>
      <c r="BD326" s="171"/>
      <c r="BE326" s="171"/>
      <c r="BF326" s="237"/>
      <c r="BG326" s="772"/>
      <c r="BH326" s="772"/>
      <c r="BI326" s="171"/>
      <c r="BJ326" s="171"/>
      <c r="BK326" s="171"/>
      <c r="BL326" s="171"/>
      <c r="BM326" s="171"/>
      <c r="BN326" s="171"/>
      <c r="BO326" s="171"/>
      <c r="BP326" s="171"/>
      <c r="BQ326" s="171"/>
      <c r="BR326" s="171"/>
      <c r="BS326" s="237"/>
      <c r="BT326" s="171" t="s">
        <v>473</v>
      </c>
      <c r="BU326" s="171"/>
      <c r="BV326" s="171"/>
      <c r="BW326" s="171"/>
      <c r="BX326" s="171"/>
      <c r="BY326" s="171"/>
      <c r="BZ326" s="171"/>
      <c r="CA326" s="171"/>
      <c r="CB326" s="171"/>
      <c r="CC326" s="171"/>
      <c r="CD326" s="171"/>
      <c r="CE326" s="171"/>
      <c r="CF326" s="171"/>
      <c r="CG326" s="171"/>
      <c r="CH326" s="171"/>
      <c r="CI326" s="171"/>
      <c r="CJ326" s="171">
        <v>0</v>
      </c>
      <c r="CK326" s="171">
        <v>0</v>
      </c>
      <c r="CL326" s="173"/>
      <c r="CP326" s="505"/>
      <c r="CQ326" s="505"/>
      <c r="CR326" s="174">
        <v>35561</v>
      </c>
      <c r="CS326" s="174">
        <v>35605</v>
      </c>
      <c r="CT326" s="175">
        <v>26</v>
      </c>
      <c r="CU326" s="174"/>
      <c r="CV326" s="176"/>
      <c r="CW326" s="174"/>
      <c r="CX326" s="176"/>
      <c r="CY326" s="176"/>
      <c r="CZ326" s="176"/>
      <c r="DA326" s="174"/>
      <c r="DB326" s="176"/>
      <c r="DC326" s="174"/>
      <c r="DD326" s="176"/>
      <c r="DE326" s="174"/>
      <c r="DF326" s="176"/>
      <c r="DG326" s="174"/>
      <c r="DH326" s="174"/>
      <c r="DI326" s="174"/>
      <c r="DJ326" s="171">
        <v>1</v>
      </c>
      <c r="DK326" s="177">
        <v>2.5641025641025639</v>
      </c>
      <c r="DL326" s="171"/>
      <c r="DM326" s="171" t="b">
        <v>1</v>
      </c>
      <c r="DN326" s="174">
        <v>35657</v>
      </c>
      <c r="DO326" s="174" t="s">
        <v>1426</v>
      </c>
      <c r="DP326" s="725" t="s">
        <v>1427</v>
      </c>
      <c r="DQ326" s="726" t="s">
        <v>1428</v>
      </c>
      <c r="DR326" s="727" t="s">
        <v>1429</v>
      </c>
      <c r="DS326" s="725" t="s">
        <v>1430</v>
      </c>
      <c r="DT326" s="174"/>
      <c r="DU326" s="166"/>
      <c r="DV326" s="166" t="b">
        <v>0</v>
      </c>
      <c r="DW326" s="174"/>
      <c r="DX326" s="174"/>
      <c r="DY326" s="174"/>
      <c r="DZ326" s="174"/>
      <c r="EA326" s="174"/>
      <c r="EB326" s="174"/>
      <c r="EC326" s="174"/>
      <c r="ED326" s="174"/>
      <c r="EE326" s="174"/>
      <c r="EF326" s="174"/>
      <c r="EG326" s="166" t="s">
        <v>1160</v>
      </c>
      <c r="EH326" s="166"/>
      <c r="EI326" s="166"/>
    </row>
    <row r="327" spans="1:139" s="544" customFormat="1" ht="39.75" customHeight="1">
      <c r="A327" s="539">
        <v>672</v>
      </c>
      <c r="B327" s="728">
        <v>35531</v>
      </c>
      <c r="C327" s="541">
        <v>35531.291666666664</v>
      </c>
      <c r="D327" s="729">
        <v>3585310</v>
      </c>
      <c r="E327" s="730" t="s">
        <v>1431</v>
      </c>
      <c r="F327" s="544" t="b">
        <v>1</v>
      </c>
      <c r="H327" s="731" t="s">
        <v>418</v>
      </c>
      <c r="I327" s="732">
        <v>15303</v>
      </c>
      <c r="J327" s="733">
        <v>55.419178082191777</v>
      </c>
      <c r="K327" s="734">
        <v>664.9572649572649</v>
      </c>
      <c r="L327" s="735" t="s">
        <v>493</v>
      </c>
      <c r="M327" s="736" t="s">
        <v>1432</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739">
        <v>0</v>
      </c>
      <c r="AK327" s="552" t="e">
        <f t="shared" si="10"/>
        <v>#DIV/0!</v>
      </c>
      <c r="AL327" s="736"/>
      <c r="AM327" s="737">
        <v>35513</v>
      </c>
      <c r="AN327" s="738" t="s">
        <v>2182</v>
      </c>
      <c r="AO327" s="555">
        <v>35537</v>
      </c>
      <c r="AP327" s="735" t="s">
        <v>2181</v>
      </c>
      <c r="AQ327" s="737">
        <v>35513</v>
      </c>
      <c r="AR327" s="738">
        <v>1</v>
      </c>
      <c r="AS327" s="738"/>
      <c r="AT327" s="739">
        <v>0</v>
      </c>
      <c r="AU327" s="738">
        <v>0</v>
      </c>
      <c r="AV327" s="738">
        <v>1</v>
      </c>
      <c r="AW327" s="738">
        <v>1</v>
      </c>
      <c r="AX327" s="740" t="s">
        <v>1433</v>
      </c>
      <c r="AY327" s="738"/>
      <c r="AZ327" s="738" t="s">
        <v>2180</v>
      </c>
      <c r="BA327" s="544">
        <v>0</v>
      </c>
      <c r="BB327" s="740">
        <v>1</v>
      </c>
      <c r="BC327" s="740"/>
      <c r="BD327" s="740">
        <v>0</v>
      </c>
      <c r="BE327" s="740">
        <v>0</v>
      </c>
      <c r="BF327" s="741">
        <v>0</v>
      </c>
      <c r="BG327" s="773">
        <v>0</v>
      </c>
      <c r="BH327" s="773"/>
      <c r="BI327" s="738">
        <v>0</v>
      </c>
      <c r="BJ327" s="738"/>
      <c r="BK327" s="738">
        <v>0</v>
      </c>
      <c r="BL327" s="738"/>
      <c r="BM327" s="738">
        <v>0</v>
      </c>
      <c r="BN327" s="738"/>
      <c r="BO327" s="738">
        <v>0</v>
      </c>
      <c r="BP327" s="738">
        <v>0</v>
      </c>
      <c r="BQ327" s="738">
        <v>0</v>
      </c>
      <c r="BR327" s="738">
        <v>0</v>
      </c>
      <c r="BS327" s="742">
        <v>0</v>
      </c>
      <c r="BT327" s="743">
        <v>1</v>
      </c>
      <c r="BU327" s="743" t="s">
        <v>2183</v>
      </c>
      <c r="BV327" s="743">
        <v>0</v>
      </c>
      <c r="BW327" s="743">
        <v>0</v>
      </c>
      <c r="BX327" s="738">
        <v>0</v>
      </c>
      <c r="BY327" s="738"/>
      <c r="BZ327" s="738" t="s">
        <v>2180</v>
      </c>
      <c r="CA327" s="738"/>
      <c r="CB327" s="738">
        <v>0</v>
      </c>
      <c r="CC327" s="738">
        <v>0</v>
      </c>
      <c r="CD327" s="738">
        <v>0</v>
      </c>
      <c r="CE327" s="738"/>
      <c r="CF327" s="738" t="s">
        <v>2180</v>
      </c>
      <c r="CG327" s="738"/>
      <c r="CH327" s="738">
        <v>0</v>
      </c>
      <c r="CI327" s="738"/>
      <c r="CJ327" s="740">
        <v>0</v>
      </c>
      <c r="CK327" s="740">
        <v>0</v>
      </c>
      <c r="CL327" s="735">
        <v>0</v>
      </c>
      <c r="CP327" s="564"/>
      <c r="CQ327" s="564"/>
      <c r="CR327" s="744">
        <v>35513</v>
      </c>
      <c r="CS327" s="744">
        <v>35560</v>
      </c>
      <c r="CT327" s="745">
        <v>29</v>
      </c>
      <c r="CU327" s="744">
        <v>35560</v>
      </c>
      <c r="CV327" s="746">
        <v>0</v>
      </c>
      <c r="CW327" s="744"/>
      <c r="CX327" s="746">
        <v>0</v>
      </c>
      <c r="CY327" s="746">
        <v>0</v>
      </c>
      <c r="CZ327" s="746">
        <v>0</v>
      </c>
      <c r="DA327" s="744"/>
      <c r="DB327" s="746">
        <v>0</v>
      </c>
      <c r="DC327" s="744"/>
      <c r="DD327" s="746">
        <v>0</v>
      </c>
      <c r="DE327" s="744"/>
      <c r="DF327" s="746">
        <v>0</v>
      </c>
      <c r="DG327" s="744"/>
      <c r="DH327" s="744"/>
      <c r="DI327" s="731"/>
      <c r="DJ327" s="740">
        <v>0</v>
      </c>
      <c r="DK327" s="747"/>
      <c r="DL327" s="740"/>
      <c r="DM327" s="740"/>
      <c r="DN327" s="731"/>
      <c r="DO327" s="731"/>
      <c r="DP327" s="731"/>
      <c r="DQ327" s="731"/>
      <c r="DR327" s="731"/>
      <c r="DS327" s="731"/>
      <c r="DT327" s="731"/>
      <c r="DU327" s="731"/>
      <c r="DV327" s="731" t="b">
        <v>0</v>
      </c>
      <c r="DW327" s="731"/>
      <c r="DX327" s="731"/>
      <c r="DY327" s="731"/>
      <c r="DZ327" s="731"/>
      <c r="EA327" s="731"/>
      <c r="EB327" s="731"/>
      <c r="EC327" s="731"/>
      <c r="ED327" s="731"/>
      <c r="EE327" s="731"/>
      <c r="EF327" s="731"/>
      <c r="EG327" s="731" t="s">
        <v>1160</v>
      </c>
      <c r="EH327" s="731"/>
      <c r="EI327" s="731" t="s">
        <v>1160</v>
      </c>
    </row>
    <row r="328" spans="1:139" s="48" customFormat="1" ht="39.75" customHeight="1">
      <c r="A328" s="60">
        <v>673</v>
      </c>
      <c r="B328" s="163">
        <v>35507</v>
      </c>
      <c r="C328" s="62">
        <v>35507.489583333336</v>
      </c>
      <c r="D328" s="164">
        <v>3465944</v>
      </c>
      <c r="E328" s="165" t="s">
        <v>1434</v>
      </c>
      <c r="F328" s="48" t="b">
        <v>0</v>
      </c>
      <c r="G328" s="48" t="s">
        <v>1558</v>
      </c>
      <c r="H328" s="166" t="s">
        <v>418</v>
      </c>
      <c r="I328" s="167">
        <v>23368</v>
      </c>
      <c r="J328" s="168">
        <v>33.257534246575339</v>
      </c>
      <c r="K328" s="169">
        <v>399.04667981591058</v>
      </c>
      <c r="L328" s="166" t="s">
        <v>1228</v>
      </c>
      <c r="M328" s="721" t="s">
        <v>1435</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32"/>
      <c r="AK328" s="324">
        <f t="shared" si="10"/>
        <v>0</v>
      </c>
      <c r="AL328" s="208"/>
      <c r="AM328" s="348"/>
      <c r="AN328" s="53"/>
      <c r="AO328" s="61"/>
      <c r="AQ328" s="348"/>
      <c r="AR328" s="53"/>
      <c r="AS328" s="53"/>
      <c r="AT328" s="332"/>
      <c r="AU328" s="53"/>
      <c r="AV328" s="53"/>
      <c r="AW328" s="53"/>
      <c r="AX328" s="171" t="s">
        <v>1436</v>
      </c>
      <c r="AY328" s="171"/>
      <c r="AZ328" s="171">
        <v>1</v>
      </c>
      <c r="BB328" s="171"/>
      <c r="BC328" s="82" t="e">
        <v>#REF!</v>
      </c>
      <c r="BD328" s="171"/>
      <c r="BE328" s="171"/>
      <c r="BF328" s="237"/>
      <c r="BG328" s="772"/>
      <c r="BH328" s="772"/>
      <c r="BI328" s="171">
        <v>1</v>
      </c>
      <c r="BJ328" s="171"/>
      <c r="BK328" s="171"/>
      <c r="BL328" s="171"/>
      <c r="BM328" s="171"/>
      <c r="BN328" s="171"/>
      <c r="BO328" s="171"/>
      <c r="BP328" s="171"/>
      <c r="BQ328" s="171"/>
      <c r="BR328" s="171"/>
      <c r="BS328" s="251" t="s">
        <v>473</v>
      </c>
      <c r="BT328" s="171"/>
      <c r="BU328" s="171"/>
      <c r="BV328" s="171"/>
      <c r="BW328" s="171"/>
      <c r="BX328" s="171"/>
      <c r="BY328" s="171"/>
      <c r="BZ328" s="171"/>
      <c r="CA328" s="71" t="e">
        <v>#REF!</v>
      </c>
      <c r="CB328" s="172"/>
      <c r="CC328" s="172"/>
      <c r="CD328" s="172"/>
      <c r="CE328" s="172"/>
      <c r="CF328" s="172"/>
      <c r="CG328" s="171"/>
      <c r="CH328" s="171"/>
      <c r="CI328" s="171"/>
      <c r="CJ328" s="171">
        <v>0</v>
      </c>
      <c r="CK328" s="171">
        <v>0</v>
      </c>
      <c r="CL328" s="173"/>
      <c r="CP328" s="505"/>
      <c r="CQ328" s="505"/>
      <c r="CR328" s="174">
        <v>35500</v>
      </c>
      <c r="CS328" s="174">
        <v>35515</v>
      </c>
      <c r="CT328" s="175">
        <v>8</v>
      </c>
      <c r="CU328" s="174"/>
      <c r="CV328" s="176"/>
      <c r="CW328" s="174"/>
      <c r="CX328" s="176"/>
      <c r="CY328" s="176"/>
      <c r="CZ328" s="176"/>
      <c r="DA328" s="174"/>
      <c r="DB328" s="176"/>
      <c r="DC328" s="174"/>
      <c r="DD328" s="176"/>
      <c r="DE328" s="174"/>
      <c r="DF328" s="176"/>
      <c r="DG328" s="174"/>
      <c r="DH328" s="87" t="s">
        <v>220</v>
      </c>
      <c r="DI328" s="166"/>
      <c r="DJ328" s="171">
        <v>0</v>
      </c>
      <c r="DK328" s="177"/>
      <c r="DL328" s="171"/>
      <c r="DM328" s="171"/>
      <c r="DN328" s="166"/>
      <c r="DO328" s="166"/>
      <c r="DP328" s="166"/>
      <c r="DQ328" s="166"/>
      <c r="DR328" s="166"/>
      <c r="DS328" s="166"/>
      <c r="DT328" s="166"/>
      <c r="DU328" s="166"/>
      <c r="DV328" s="166" t="b">
        <v>0</v>
      </c>
      <c r="DW328" s="166"/>
      <c r="DX328" s="166"/>
      <c r="DY328" s="166"/>
      <c r="DZ328" s="166"/>
      <c r="EA328" s="166"/>
      <c r="EB328" s="166"/>
      <c r="EC328" s="166"/>
      <c r="ED328" s="166"/>
      <c r="EE328" s="166"/>
      <c r="EF328" s="166"/>
      <c r="EG328" s="166" t="s">
        <v>1160</v>
      </c>
      <c r="EH328" s="166"/>
      <c r="EI328" s="166"/>
    </row>
    <row r="329" spans="1:139" s="48" customFormat="1" ht="39.75" customHeight="1">
      <c r="A329" s="60">
        <v>675</v>
      </c>
      <c r="B329" s="163">
        <v>35370</v>
      </c>
      <c r="C329" s="62">
        <v>35370.313888888886</v>
      </c>
      <c r="D329" s="164">
        <v>2410808</v>
      </c>
      <c r="E329" s="165" t="s">
        <v>1437</v>
      </c>
      <c r="F329" s="48" t="b">
        <v>0</v>
      </c>
      <c r="G329" s="48" t="s">
        <v>1558</v>
      </c>
      <c r="H329" s="166" t="s">
        <v>418</v>
      </c>
      <c r="I329" s="167">
        <v>25480</v>
      </c>
      <c r="J329" s="168">
        <v>27.095890410958905</v>
      </c>
      <c r="K329" s="169">
        <v>325.11505588428662</v>
      </c>
      <c r="L329" s="166" t="s">
        <v>493</v>
      </c>
      <c r="M329" s="748" t="s">
        <v>1438</v>
      </c>
      <c r="P329" s="48" t="e">
        <f t="shared" si="11"/>
        <v>#DIV/0!</v>
      </c>
      <c r="Q329" s="749"/>
      <c r="V329" s="53"/>
      <c r="Y329" s="216"/>
      <c r="Z329" s="332"/>
      <c r="AA329" s="332"/>
      <c r="AB329" s="332"/>
      <c r="AC329" s="332"/>
      <c r="AD329" s="332"/>
      <c r="AE329" s="332"/>
      <c r="AF329" s="332"/>
      <c r="AG329" s="332"/>
      <c r="AH329" s="332"/>
      <c r="AI329" s="332"/>
      <c r="AJ329" s="332"/>
      <c r="AK329" s="324" t="e">
        <f t="shared" si="10"/>
        <v>#DIV/0!</v>
      </c>
      <c r="AL329" s="208"/>
      <c r="AM329" s="348"/>
      <c r="AN329" s="53"/>
      <c r="AO329" s="61"/>
      <c r="AQ329" s="348"/>
      <c r="AR329" s="53"/>
      <c r="AS329" s="53"/>
      <c r="AT329" s="332"/>
      <c r="AU329" s="53">
        <v>1</v>
      </c>
      <c r="AV329" s="53"/>
      <c r="AW329" s="53">
        <v>1</v>
      </c>
      <c r="AX329" s="171" t="s">
        <v>1439</v>
      </c>
      <c r="AY329" s="171"/>
      <c r="AZ329" s="171" t="s">
        <v>1503</v>
      </c>
      <c r="BB329" s="171"/>
      <c r="BC329" s="82" t="e">
        <v>#REF!</v>
      </c>
      <c r="BD329" s="171"/>
      <c r="BE329" s="171"/>
      <c r="BF329" s="237"/>
      <c r="BG329" s="772"/>
      <c r="BH329" s="772"/>
      <c r="BI329" s="171"/>
      <c r="BJ329" s="171"/>
      <c r="BK329" s="171"/>
      <c r="BL329" s="171"/>
      <c r="BM329" s="171"/>
      <c r="BN329" s="171"/>
      <c r="BO329" s="171"/>
      <c r="BP329" s="171"/>
      <c r="BQ329" s="171"/>
      <c r="BR329" s="171"/>
      <c r="BS329" s="251" t="s">
        <v>473</v>
      </c>
      <c r="BT329" s="171"/>
      <c r="BU329" s="171"/>
      <c r="BV329" s="171"/>
      <c r="BW329" s="171"/>
      <c r="BX329" s="171"/>
      <c r="BY329" s="171"/>
      <c r="BZ329" s="171"/>
      <c r="CA329" s="71" t="e">
        <v>#REF!</v>
      </c>
      <c r="CB329" s="172"/>
      <c r="CC329" s="172"/>
      <c r="CD329" s="172"/>
      <c r="CE329" s="172"/>
      <c r="CF329" s="172"/>
      <c r="CG329" s="171"/>
      <c r="CH329" s="171"/>
      <c r="CI329" s="171"/>
      <c r="CJ329" s="171">
        <v>0</v>
      </c>
      <c r="CK329" s="171">
        <v>0</v>
      </c>
      <c r="CL329" s="173"/>
      <c r="CP329" s="505"/>
      <c r="CQ329" s="505"/>
      <c r="CR329" s="174">
        <v>35366</v>
      </c>
      <c r="CS329" s="174">
        <v>35383</v>
      </c>
      <c r="CT329" s="175">
        <v>13</v>
      </c>
      <c r="CU329" s="174"/>
      <c r="CV329" s="176"/>
      <c r="CW329" s="174"/>
      <c r="CX329" s="176"/>
      <c r="CY329" s="176"/>
      <c r="CZ329" s="176"/>
      <c r="DA329" s="174"/>
      <c r="DB329" s="176"/>
      <c r="DC329" s="174"/>
      <c r="DD329" s="176"/>
      <c r="DE329" s="174"/>
      <c r="DF329" s="176"/>
      <c r="DG329" s="174"/>
      <c r="DH329" s="174"/>
      <c r="DI329" s="166"/>
      <c r="DJ329" s="171">
        <v>0</v>
      </c>
      <c r="DK329" s="177"/>
      <c r="DL329" s="171"/>
      <c r="DM329" s="171"/>
      <c r="DN329" s="166"/>
      <c r="DO329" s="166"/>
      <c r="DP329" s="166"/>
      <c r="DQ329" s="166"/>
      <c r="DR329" s="166"/>
      <c r="DS329" s="166"/>
      <c r="DT329" s="166"/>
      <c r="DU329" s="166"/>
      <c r="DV329" s="166" t="b">
        <v>0</v>
      </c>
      <c r="DW329" s="166"/>
      <c r="DX329" s="166"/>
      <c r="DY329" s="166"/>
      <c r="DZ329" s="166"/>
      <c r="EA329" s="166"/>
      <c r="EB329" s="166"/>
      <c r="EC329" s="166"/>
      <c r="ED329" s="166"/>
      <c r="EE329" s="166"/>
      <c r="EF329" s="166"/>
      <c r="EG329" s="166" t="s">
        <v>1160</v>
      </c>
      <c r="EH329" s="166"/>
      <c r="EI329" s="166"/>
    </row>
    <row r="330" spans="1:139" s="48" customFormat="1" ht="39.75" customHeight="1">
      <c r="A330" s="60">
        <v>676</v>
      </c>
      <c r="B330" s="163">
        <v>35366</v>
      </c>
      <c r="C330" s="62">
        <v>35366.5625</v>
      </c>
      <c r="D330" s="164">
        <v>2891126</v>
      </c>
      <c r="E330" s="165" t="s">
        <v>1440</v>
      </c>
      <c r="F330" s="48" t="b">
        <v>0</v>
      </c>
      <c r="G330" s="48" t="s">
        <v>1558</v>
      </c>
      <c r="H330" s="166" t="s">
        <v>441</v>
      </c>
      <c r="I330" s="167">
        <v>11203</v>
      </c>
      <c r="J330" s="168">
        <v>66.2</v>
      </c>
      <c r="K330" s="169">
        <v>794.3129520052596</v>
      </c>
      <c r="L330" s="173" t="s">
        <v>493</v>
      </c>
      <c r="M330" s="750" t="s">
        <v>1441</v>
      </c>
      <c r="O330" s="48">
        <v>53</v>
      </c>
      <c r="P330" s="48" t="e">
        <f t="shared" si="11"/>
        <v>#DIV/0!</v>
      </c>
      <c r="Q330" s="173"/>
      <c r="V330" s="173"/>
      <c r="Y330" s="216"/>
      <c r="Z330" s="751"/>
      <c r="AA330" s="751"/>
      <c r="AB330" s="751"/>
      <c r="AC330" s="751"/>
      <c r="AD330" s="751"/>
      <c r="AE330" s="751"/>
      <c r="AF330" s="751"/>
      <c r="AG330" s="751"/>
      <c r="AH330" s="751"/>
      <c r="AI330" s="751"/>
      <c r="AJ330" s="751"/>
      <c r="AK330" s="324" t="e">
        <f t="shared" si="10"/>
        <v>#DIV/0!</v>
      </c>
      <c r="AL330" s="752"/>
      <c r="AM330" s="753"/>
      <c r="AN330" s="173"/>
      <c r="AO330" s="61"/>
      <c r="AP330" s="173" t="s">
        <v>2184</v>
      </c>
      <c r="AQ330" s="753">
        <v>35329</v>
      </c>
      <c r="AR330" s="173"/>
      <c r="AS330" s="173"/>
      <c r="AT330" s="751"/>
      <c r="AU330" s="173">
        <v>1</v>
      </c>
      <c r="AV330" s="173"/>
      <c r="AW330" s="173"/>
      <c r="AX330" s="171" t="s">
        <v>1442</v>
      </c>
      <c r="AY330" s="173"/>
      <c r="AZ330" s="173" t="s">
        <v>2179</v>
      </c>
      <c r="BB330" s="171"/>
      <c r="BC330" s="171"/>
      <c r="BD330" s="171"/>
      <c r="BE330" s="171"/>
      <c r="BF330" s="237"/>
      <c r="BG330" s="772"/>
      <c r="BH330" s="772"/>
      <c r="BI330" s="173"/>
      <c r="BJ330" s="173"/>
      <c r="BK330" s="173"/>
      <c r="BL330" s="173"/>
      <c r="BM330" s="173"/>
      <c r="BN330" s="173"/>
      <c r="BO330" s="173"/>
      <c r="BP330" s="173"/>
      <c r="BQ330" s="173"/>
      <c r="BR330" s="173"/>
      <c r="BS330" s="754"/>
      <c r="BT330" s="173" t="s">
        <v>473</v>
      </c>
      <c r="BU330" s="173"/>
      <c r="BV330" s="173"/>
      <c r="BW330" s="173"/>
      <c r="BX330" s="173"/>
      <c r="BY330" s="173"/>
      <c r="BZ330" s="173"/>
      <c r="CA330" s="173"/>
      <c r="CB330" s="173"/>
      <c r="CC330" s="173"/>
      <c r="CD330" s="173"/>
      <c r="CE330" s="173"/>
      <c r="CF330" s="173">
        <v>1</v>
      </c>
      <c r="CG330" s="173"/>
      <c r="CH330" s="173"/>
      <c r="CI330" s="173"/>
      <c r="CJ330" s="171">
        <v>0</v>
      </c>
      <c r="CK330" s="171">
        <v>0</v>
      </c>
      <c r="CL330" s="173"/>
      <c r="CP330" s="505"/>
      <c r="CQ330" s="505"/>
      <c r="CR330" s="174">
        <v>35330</v>
      </c>
      <c r="CS330" s="174">
        <v>35385</v>
      </c>
      <c r="CT330" s="175">
        <v>19</v>
      </c>
      <c r="CU330" s="174"/>
      <c r="CV330" s="176"/>
      <c r="CW330" s="174"/>
      <c r="CX330" s="176"/>
      <c r="CY330" s="176"/>
      <c r="CZ330" s="176"/>
      <c r="DA330" s="174"/>
      <c r="DB330" s="176"/>
      <c r="DC330" s="174"/>
      <c r="DD330" s="176"/>
      <c r="DE330" s="174"/>
      <c r="DF330" s="176"/>
      <c r="DG330" s="174"/>
      <c r="DH330" s="174"/>
      <c r="DI330" s="166"/>
      <c r="DJ330" s="171">
        <v>0</v>
      </c>
      <c r="DK330" s="177"/>
      <c r="DL330" s="171"/>
      <c r="DM330" s="171"/>
      <c r="DN330" s="166"/>
      <c r="DO330" s="166"/>
      <c r="DP330" s="166"/>
      <c r="DQ330" s="166"/>
      <c r="DR330" s="166"/>
      <c r="DS330" s="166"/>
      <c r="DT330" s="166"/>
      <c r="DU330" s="166"/>
      <c r="DV330" s="166" t="b">
        <v>0</v>
      </c>
      <c r="DW330" s="166"/>
      <c r="DX330" s="166"/>
      <c r="DY330" s="166"/>
      <c r="DZ330" s="166"/>
      <c r="EA330" s="166"/>
      <c r="EB330" s="166"/>
      <c r="EC330" s="166"/>
      <c r="ED330" s="166"/>
      <c r="EE330" s="166"/>
      <c r="EF330" s="166"/>
      <c r="EG330" s="166" t="s">
        <v>1160</v>
      </c>
      <c r="EH330" s="166"/>
      <c r="EI330" s="166"/>
    </row>
    <row r="331" spans="1:139" s="48" customFormat="1" ht="39.75" customHeight="1">
      <c r="A331" s="60">
        <v>681</v>
      </c>
      <c r="B331" s="163">
        <v>35124</v>
      </c>
      <c r="C331" s="62">
        <v>35124.288194444445</v>
      </c>
      <c r="D331" s="164">
        <v>1843632</v>
      </c>
      <c r="E331" s="165" t="s">
        <v>1443</v>
      </c>
      <c r="F331" s="48" t="b">
        <v>0</v>
      </c>
      <c r="G331" s="48" t="s">
        <v>1558</v>
      </c>
      <c r="H331" s="166" t="s">
        <v>441</v>
      </c>
      <c r="I331" s="167">
        <v>22737</v>
      </c>
      <c r="J331" s="168">
        <v>33.936986301369863</v>
      </c>
      <c r="K331" s="169">
        <v>407.19921104536485</v>
      </c>
      <c r="L331" s="173" t="s">
        <v>493</v>
      </c>
      <c r="M331" s="750" t="s">
        <v>1444</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751"/>
      <c r="AK331" s="324">
        <f t="shared" si="10"/>
        <v>0</v>
      </c>
      <c r="AL331" s="752"/>
      <c r="AM331" s="753"/>
      <c r="AN331" s="173"/>
      <c r="AO331" s="61"/>
      <c r="AP331" s="173"/>
      <c r="AQ331" s="753"/>
      <c r="AR331" s="173"/>
      <c r="AS331" s="173"/>
      <c r="AT331" s="751"/>
      <c r="AU331" s="173"/>
      <c r="AV331" s="173"/>
      <c r="AW331" s="173"/>
      <c r="AX331" s="171" t="s">
        <v>1403</v>
      </c>
      <c r="AY331" s="173"/>
      <c r="AZ331" s="173">
        <v>1</v>
      </c>
      <c r="BB331" s="171"/>
      <c r="BC331" s="171"/>
      <c r="BD331" s="171"/>
      <c r="BE331" s="171"/>
      <c r="BF331" s="237"/>
      <c r="BG331" s="772"/>
      <c r="BH331" s="772"/>
      <c r="BI331" s="173"/>
      <c r="BJ331" s="173"/>
      <c r="BK331" s="173"/>
      <c r="BL331" s="173"/>
      <c r="BM331" s="173"/>
      <c r="BN331" s="173"/>
      <c r="BO331" s="173"/>
      <c r="BP331" s="173"/>
      <c r="BQ331" s="173"/>
      <c r="BR331" s="173"/>
      <c r="BS331" s="754"/>
      <c r="BT331" s="755" t="s">
        <v>1333</v>
      </c>
      <c r="BU331" s="755"/>
      <c r="BV331" s="755"/>
      <c r="BW331" s="755"/>
      <c r="BX331" s="173"/>
      <c r="BY331" s="173"/>
      <c r="BZ331" s="173"/>
      <c r="CA331" s="173"/>
      <c r="CB331" s="173"/>
      <c r="CC331" s="173"/>
      <c r="CD331" s="173"/>
      <c r="CE331" s="173"/>
      <c r="CF331" s="173"/>
      <c r="CG331" s="173"/>
      <c r="CH331" s="173"/>
      <c r="CI331" s="173"/>
      <c r="CJ331" s="171">
        <v>0</v>
      </c>
      <c r="CK331" s="171">
        <v>0</v>
      </c>
      <c r="CL331" s="173"/>
      <c r="CP331" s="505"/>
      <c r="CQ331" s="505"/>
      <c r="CR331" s="174">
        <v>35121</v>
      </c>
      <c r="CS331" s="174">
        <v>35173</v>
      </c>
      <c r="CT331" s="175">
        <v>49</v>
      </c>
      <c r="CU331" s="174"/>
      <c r="CV331" s="176"/>
      <c r="CW331" s="174"/>
      <c r="CX331" s="176"/>
      <c r="CY331" s="176"/>
      <c r="CZ331" s="176"/>
      <c r="DA331" s="174"/>
      <c r="DB331" s="176"/>
      <c r="DC331" s="174"/>
      <c r="DD331" s="176"/>
      <c r="DE331" s="174"/>
      <c r="DF331" s="176"/>
      <c r="DG331" s="174"/>
      <c r="DH331" s="174"/>
      <c r="DI331" s="166"/>
      <c r="DJ331" s="171">
        <v>0</v>
      </c>
      <c r="DK331" s="177"/>
      <c r="DL331" s="171"/>
      <c r="DM331" s="171"/>
      <c r="DN331" s="166"/>
      <c r="DO331" s="166"/>
      <c r="DP331" s="166"/>
      <c r="DQ331" s="166"/>
      <c r="DR331" s="166"/>
      <c r="DS331" s="166"/>
      <c r="DT331" s="166"/>
      <c r="DU331" s="166"/>
      <c r="DV331" s="166" t="b">
        <v>0</v>
      </c>
      <c r="DW331" s="166"/>
      <c r="DX331" s="166"/>
      <c r="DY331" s="166"/>
      <c r="DZ331" s="166"/>
      <c r="EA331" s="166"/>
      <c r="EB331" s="166"/>
      <c r="EC331" s="166"/>
      <c r="ED331" s="166"/>
      <c r="EE331" s="166"/>
      <c r="EF331" s="166"/>
      <c r="EG331" s="166" t="s">
        <v>1160</v>
      </c>
      <c r="EH331" s="166"/>
      <c r="EI331" s="166"/>
    </row>
    <row r="332" spans="1:139" s="48" customFormat="1" ht="39.75" customHeight="1">
      <c r="A332" s="60">
        <v>683</v>
      </c>
      <c r="B332" s="163">
        <v>35094</v>
      </c>
      <c r="C332" s="62">
        <v>35094.582638888889</v>
      </c>
      <c r="D332" s="164">
        <v>650468</v>
      </c>
      <c r="E332" s="165" t="s">
        <v>1445</v>
      </c>
      <c r="F332" s="48" t="b">
        <v>0</v>
      </c>
      <c r="G332" s="48" t="s">
        <v>1558</v>
      </c>
      <c r="H332" s="166" t="s">
        <v>418</v>
      </c>
      <c r="I332" s="167">
        <v>20194</v>
      </c>
      <c r="J332" s="168">
        <v>40.821917808219176</v>
      </c>
      <c r="K332" s="169">
        <v>489.80933596318209</v>
      </c>
      <c r="L332" s="173" t="s">
        <v>1420</v>
      </c>
      <c r="M332" s="750" t="s">
        <v>1446</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751"/>
      <c r="AK332" s="324">
        <f t="shared" si="10"/>
        <v>1</v>
      </c>
      <c r="AL332" s="752"/>
      <c r="AM332" s="753"/>
      <c r="AN332" s="173"/>
      <c r="AO332" s="61"/>
      <c r="AP332" s="173"/>
      <c r="AQ332" s="753"/>
      <c r="AR332" s="173"/>
      <c r="AS332" s="173"/>
      <c r="AT332" s="751"/>
      <c r="AU332" s="173"/>
      <c r="AV332" s="173"/>
      <c r="AW332" s="173"/>
      <c r="AX332" s="171" t="s">
        <v>1447</v>
      </c>
      <c r="AY332" s="173"/>
      <c r="AZ332" s="173">
        <v>1</v>
      </c>
      <c r="BB332" s="171"/>
      <c r="BC332" s="171"/>
      <c r="BD332" s="171"/>
      <c r="BE332" s="171"/>
      <c r="BF332" s="237"/>
      <c r="BG332" s="772"/>
      <c r="BH332" s="772"/>
      <c r="BI332" s="173"/>
      <c r="BJ332" s="173"/>
      <c r="BK332" s="173"/>
      <c r="BL332" s="173"/>
      <c r="BM332" s="173"/>
      <c r="BN332" s="173"/>
      <c r="BO332" s="173"/>
      <c r="BP332" s="173"/>
      <c r="BQ332" s="173"/>
      <c r="BR332" s="173"/>
      <c r="BS332" s="754"/>
      <c r="BT332" s="755" t="s">
        <v>1333</v>
      </c>
      <c r="BU332" s="755"/>
      <c r="BV332" s="755"/>
      <c r="BW332" s="755"/>
      <c r="BX332" s="173"/>
      <c r="BY332" s="173"/>
      <c r="BZ332" s="173"/>
      <c r="CA332" s="173"/>
      <c r="CB332" s="173"/>
      <c r="CC332" s="173"/>
      <c r="CD332" s="173"/>
      <c r="CE332" s="173"/>
      <c r="CF332" s="173"/>
      <c r="CG332" s="173"/>
      <c r="CH332" s="173"/>
      <c r="CI332" s="173"/>
      <c r="CJ332" s="171">
        <v>0</v>
      </c>
      <c r="CK332" s="171">
        <v>0</v>
      </c>
      <c r="CL332" s="173"/>
      <c r="CP332" s="505"/>
      <c r="CQ332" s="505"/>
      <c r="CR332" s="174">
        <v>35091</v>
      </c>
      <c r="CS332" s="174">
        <v>35107</v>
      </c>
      <c r="CT332" s="175">
        <v>13</v>
      </c>
      <c r="CU332" s="174"/>
      <c r="CV332" s="176"/>
      <c r="CW332" s="174"/>
      <c r="CX332" s="176"/>
      <c r="CY332" s="176"/>
      <c r="CZ332" s="176"/>
      <c r="DA332" s="174"/>
      <c r="DB332" s="176"/>
      <c r="DC332" s="174"/>
      <c r="DD332" s="176"/>
      <c r="DE332" s="174"/>
      <c r="DF332" s="176"/>
      <c r="DG332" s="174"/>
      <c r="DH332" s="174"/>
      <c r="DI332" s="166"/>
      <c r="DJ332" s="171">
        <v>0</v>
      </c>
      <c r="DK332" s="177"/>
      <c r="DL332" s="171"/>
      <c r="DM332" s="171"/>
      <c r="DN332" s="166"/>
      <c r="DO332" s="166"/>
      <c r="DP332" s="166"/>
      <c r="DQ332" s="166"/>
      <c r="DR332" s="166"/>
      <c r="DS332" s="166"/>
      <c r="DT332" s="166"/>
      <c r="DU332" s="166"/>
      <c r="DV332" s="166" t="b">
        <v>0</v>
      </c>
      <c r="DW332" s="166"/>
      <c r="DX332" s="166"/>
      <c r="DY332" s="166"/>
      <c r="DZ332" s="166"/>
      <c r="EA332" s="166"/>
      <c r="EB332" s="166"/>
      <c r="EC332" s="166"/>
      <c r="ED332" s="166"/>
      <c r="EE332" s="166"/>
      <c r="EF332" s="166"/>
      <c r="EG332" s="166" t="s">
        <v>1160</v>
      </c>
      <c r="EH332" s="166"/>
      <c r="EI332" s="166"/>
    </row>
    <row r="333" spans="1:139" s="544" customFormat="1" ht="39.75" customHeight="1">
      <c r="A333" s="539">
        <v>688</v>
      </c>
      <c r="B333" s="728">
        <v>34726</v>
      </c>
      <c r="C333" s="541">
        <v>34726.458333333336</v>
      </c>
      <c r="D333" s="729">
        <v>566970</v>
      </c>
      <c r="E333" s="730" t="s">
        <v>1448</v>
      </c>
      <c r="F333" s="544" t="b">
        <v>1</v>
      </c>
      <c r="H333" s="731" t="s">
        <v>418</v>
      </c>
      <c r="I333" s="732">
        <v>23132</v>
      </c>
      <c r="J333" s="733">
        <v>31.764383561643836</v>
      </c>
      <c r="K333" s="734">
        <v>381.13083497698881</v>
      </c>
      <c r="L333" s="731" t="s">
        <v>493</v>
      </c>
      <c r="M333" s="756" t="s">
        <v>1449</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746">
        <v>0</v>
      </c>
      <c r="AK333" s="552" t="e">
        <f t="shared" si="10"/>
        <v>#DIV/0!</v>
      </c>
      <c r="AL333" s="757"/>
      <c r="AM333" s="744">
        <v>34726</v>
      </c>
      <c r="AN333" s="731" t="s">
        <v>2186</v>
      </c>
      <c r="AO333" s="744">
        <v>34768</v>
      </c>
      <c r="AP333" s="731" t="s">
        <v>2187</v>
      </c>
      <c r="AQ333" s="744"/>
      <c r="AR333" s="731">
        <v>1</v>
      </c>
      <c r="AS333" s="731" t="s">
        <v>2185</v>
      </c>
      <c r="AT333" s="746">
        <v>0</v>
      </c>
      <c r="AU333" s="731">
        <v>1</v>
      </c>
      <c r="AV333" s="731">
        <v>0</v>
      </c>
      <c r="AW333" s="731">
        <v>1</v>
      </c>
      <c r="AX333" s="740" t="s">
        <v>1433</v>
      </c>
      <c r="AY333" s="740"/>
      <c r="AZ333" s="740" t="s">
        <v>2179</v>
      </c>
      <c r="BA333" s="544">
        <v>0</v>
      </c>
      <c r="BB333" s="740">
        <v>1</v>
      </c>
      <c r="BC333" s="740"/>
      <c r="BD333" s="740">
        <v>0</v>
      </c>
      <c r="BE333" s="740">
        <v>0</v>
      </c>
      <c r="BF333" s="741">
        <v>0</v>
      </c>
      <c r="BG333" s="773">
        <v>0</v>
      </c>
      <c r="BH333" s="773"/>
      <c r="BI333" s="740">
        <v>0</v>
      </c>
      <c r="BJ333" s="740"/>
      <c r="BK333" s="740">
        <v>0</v>
      </c>
      <c r="BL333" s="740"/>
      <c r="BM333" s="740">
        <v>0</v>
      </c>
      <c r="BN333" s="740"/>
      <c r="BO333" s="740">
        <v>0</v>
      </c>
      <c r="BP333" s="740">
        <v>0</v>
      </c>
      <c r="BQ333" s="740">
        <v>0</v>
      </c>
      <c r="BR333" s="740">
        <v>0</v>
      </c>
      <c r="BS333" s="741">
        <v>0</v>
      </c>
      <c r="BT333" s="743">
        <v>1</v>
      </c>
      <c r="BU333" s="743" t="s">
        <v>2183</v>
      </c>
      <c r="BV333" s="743">
        <v>0</v>
      </c>
      <c r="BW333" s="743">
        <v>0</v>
      </c>
      <c r="BX333" s="740">
        <v>0</v>
      </c>
      <c r="BY333" s="740"/>
      <c r="BZ333" s="740"/>
      <c r="CA333" s="740"/>
      <c r="CB333" s="740">
        <v>0</v>
      </c>
      <c r="CC333" s="740">
        <v>0</v>
      </c>
      <c r="CD333" s="740">
        <v>0</v>
      </c>
      <c r="CE333" s="740"/>
      <c r="CF333" s="740"/>
      <c r="CG333" s="740"/>
      <c r="CH333" s="740">
        <v>0</v>
      </c>
      <c r="CI333" s="740"/>
      <c r="CJ333" s="740">
        <v>0</v>
      </c>
      <c r="CK333" s="740">
        <v>0</v>
      </c>
      <c r="CL333" s="740">
        <v>0</v>
      </c>
      <c r="CP333" s="564"/>
      <c r="CQ333" s="564"/>
      <c r="CR333" s="744">
        <v>34725</v>
      </c>
      <c r="CS333" s="744">
        <v>34750</v>
      </c>
      <c r="CT333" s="745">
        <v>24</v>
      </c>
      <c r="CU333" s="744">
        <v>36298</v>
      </c>
      <c r="CV333" s="746">
        <v>0</v>
      </c>
      <c r="CW333" s="744"/>
      <c r="CX333" s="746">
        <v>0</v>
      </c>
      <c r="CY333" s="746">
        <v>0</v>
      </c>
      <c r="CZ333" s="746">
        <v>0</v>
      </c>
      <c r="DA333" s="744"/>
      <c r="DB333" s="746">
        <v>0</v>
      </c>
      <c r="DC333" s="744"/>
      <c r="DD333" s="746">
        <v>0</v>
      </c>
      <c r="DE333" s="744"/>
      <c r="DF333" s="746">
        <v>0</v>
      </c>
      <c r="DG333" s="744"/>
      <c r="DH333" s="744"/>
      <c r="DI333" s="731"/>
      <c r="DJ333" s="740">
        <v>0</v>
      </c>
      <c r="DK333" s="747"/>
      <c r="DL333" s="740"/>
      <c r="DM333" s="740"/>
      <c r="DN333" s="731"/>
      <c r="DO333" s="731"/>
      <c r="DP333" s="731"/>
      <c r="DQ333" s="731"/>
      <c r="DR333" s="731"/>
      <c r="DS333" s="731"/>
      <c r="DT333" s="731"/>
      <c r="DU333" s="731"/>
      <c r="DV333" s="731" t="b">
        <v>0</v>
      </c>
      <c r="DW333" s="731"/>
      <c r="DX333" s="731"/>
      <c r="DY333" s="731"/>
      <c r="DZ333" s="731"/>
      <c r="EA333" s="731"/>
      <c r="EB333" s="731"/>
      <c r="EC333" s="731"/>
      <c r="ED333" s="731"/>
      <c r="EE333" s="731"/>
      <c r="EF333" s="731"/>
      <c r="EG333" s="731"/>
      <c r="EH333" s="731"/>
      <c r="EI333" s="731"/>
    </row>
    <row r="334" spans="1:139" s="758" customFormat="1" ht="39.75" customHeight="1">
      <c r="M334" s="759"/>
      <c r="Y334" s="760"/>
      <c r="Z334" s="761"/>
      <c r="AA334" s="761"/>
      <c r="AB334" s="761"/>
      <c r="AC334" s="761"/>
      <c r="AD334" s="761"/>
      <c r="AE334" s="761"/>
      <c r="AF334" s="761"/>
      <c r="AG334" s="761"/>
      <c r="AH334" s="761"/>
      <c r="AI334" s="761"/>
      <c r="AJ334" s="761"/>
      <c r="AK334" s="761"/>
      <c r="AL334" s="762"/>
      <c r="AM334" s="350"/>
      <c r="AO334" s="350"/>
      <c r="AQ334" s="350"/>
      <c r="AT334" s="761"/>
      <c r="BF334" s="760"/>
      <c r="BG334" s="774"/>
      <c r="BH334" s="774"/>
      <c r="BS334" s="760"/>
      <c r="CP334" s="763"/>
      <c r="CQ334" s="763"/>
      <c r="CU334" s="350"/>
      <c r="CV334" s="761"/>
      <c r="CX334" s="761"/>
      <c r="CY334" s="761"/>
      <c r="CZ334" s="761"/>
      <c r="DB334" s="761"/>
      <c r="DD334" s="761"/>
      <c r="DF334" s="761"/>
    </row>
  </sheetData>
  <autoFilter ref="A2:EI333" xr:uid="{00000000-0009-0000-0000-000000000000}"/>
  <phoneticPr fontId="2" type="noConversion"/>
  <pageMargins left="0.7" right="0.7" top="0.75" bottom="0.75" header="0.3" footer="0.3"/>
  <pageSetup paperSize="9" orientation="portrait" r:id="rId1"/>
  <ignoredErrors>
    <ignoredError sqref="AI135 Z135:AH135 AR135 AT135 AV135 Z137:AI137 AR178 AR182:AR183 AU182:AU183 AV183:AW183 AR186 AW186 AR191 AT191:AV191 AU215:AW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baseColWidth="10" defaultColWidth="8.83203125" defaultRowHeight="17"/>
  <cols>
    <col min="2" max="2" width="11.1640625" bestFit="1" customWidth="1"/>
  </cols>
  <sheetData>
    <row r="1" spans="1:2">
      <c r="A1" t="s">
        <v>1482</v>
      </c>
      <c r="B1" s="713">
        <v>34726</v>
      </c>
    </row>
    <row r="3" spans="1:2">
      <c r="A3" t="s">
        <v>1521</v>
      </c>
      <c r="B3" s="38">
        <f>B1+14</f>
        <v>34740</v>
      </c>
    </row>
    <row r="4" spans="1:2">
      <c r="A4" t="s">
        <v>1483</v>
      </c>
      <c r="B4" s="38">
        <f>B1+28</f>
        <v>34754</v>
      </c>
    </row>
    <row r="5" spans="1:2">
      <c r="A5" t="s">
        <v>1484</v>
      </c>
      <c r="B5" s="38">
        <f>B1+42</f>
        <v>34768</v>
      </c>
    </row>
    <row r="6" spans="1:2">
      <c r="A6" t="s">
        <v>1779</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김홍선</dc:creator>
  <cp:lastModifiedBy>김 홍선</cp:lastModifiedBy>
  <dcterms:created xsi:type="dcterms:W3CDTF">2021-03-30T08:38:28Z</dcterms:created>
  <dcterms:modified xsi:type="dcterms:W3CDTF">2021-06-13T08:45:05Z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